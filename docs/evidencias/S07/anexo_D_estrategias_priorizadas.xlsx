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e1f3a03fb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dad" sheetId="1" r:id="R3114771353054672"/>
    <x:sheet xmlns:r="http://schemas.openxmlformats.org/officeDocument/2006/relationships" name="Método" sheetId="2" r:id="R02e5cca940d84a90"/>
    <x:sheet xmlns:r="http://schemas.openxmlformats.org/officeDocument/2006/relationships" name="Factores EFI" sheetId="3" r:id="R60708896544f43a1"/>
    <x:sheet xmlns:r="http://schemas.openxmlformats.org/officeDocument/2006/relationships" name="Factores EFE" sheetId="4" r:id="Rae7f346516a9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82C83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2C83"/>
      </x:patternFill>
    </x:fill>
    <x:fill>
      <x:patternFill patternType="solid">
        <x:fgColor rgb="FFEEF3F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0fcd44270412a" /><Relationship Type="http://schemas.openxmlformats.org/officeDocument/2006/relationships/theme" Target="/xl/theme/theme1.xml" Id="R2e85d6127ecb4ec8" /><Relationship Type="http://schemas.openxmlformats.org/officeDocument/2006/relationships/sharedStrings" Target="/xl/sharedStrings.xml" Id="Ra47faff7bd8749f6" /><Relationship Type="http://schemas.openxmlformats.org/officeDocument/2006/relationships/worksheet" Target="/xl/worksheets/sheet1.xml" Id="R3114771353054672" /><Relationship Type="http://schemas.openxmlformats.org/officeDocument/2006/relationships/worksheet" Target="/xl/worksheets/sheet2.xml" Id="R02e5cca940d84a90" /><Relationship Type="http://schemas.openxmlformats.org/officeDocument/2006/relationships/worksheet" Target="/xl/worksheets/sheet3.xml" Id="R60708896544f43a1" /><Relationship Type="http://schemas.openxmlformats.org/officeDocument/2006/relationships/worksheet" Target="/xl/worksheets/sheet4.xml" Id="Rae7f346516a94a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40" hidden="0" customWidth="1"/>
    <x:col min="4" max="4" width="40" hidden="0" customWidth="1"/>
    <x:col min="5" max="5" width="13" hidden="0" customWidth="1"/>
    <x:col min="6" max="6" width="40" hidden="0" customWidth="1"/>
    <x:col min="7" max="7" width="13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2">
      <x:c r="A2" s="1" t="str">
        <x:v>Anexo D | Priorización de 12 estrategias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Tipo</x:v>
      </x:c>
      <x:c r="C5" s="6" t="str">
        <x:v>Factores cruzados</x:v>
      </x:c>
      <x:c r="D5" s="6" t="str">
        <x:v>Estrategia</x:v>
      </x:c>
      <x:c r="E5" s="6" t="str">
        <x:v>Objetivo_id</x:v>
      </x:c>
      <x:c r="F5" s="6" t="str">
        <x:v>Objetivo al que apunta</x:v>
      </x:c>
      <x:c r="G5" s="6" t="str">
        <x:v>Proyecto_id</x:v>
      </x:c>
      <x:c r="H5" s="6" t="str">
        <x:v>Proyecto candidato</x:v>
      </x:c>
      <x:c r="I5" s="6" t="str">
        <x:v>Prioridad preliminar</x:v>
      </x:c>
      <x:c r="J5" s="6" t="str">
        <x:v>Estado</x:v>
      </x:c>
      <x:c r="K5" s="6" t="str">
        <x:v>peso_factores</x:v>
      </x:c>
      <x:c r="L5" s="6" t="str">
        <x:v>bono_tipo</x:v>
      </x:c>
      <x:c r="M5" s="6" t="str">
        <x:v>puntaje</x:v>
      </x:c>
      <x:c r="N5" s="6" t="str">
        <x:v>orden</x:v>
      </x:c>
    </x:row>
    <x:row r="6" ht="89" customHeight="1">
      <x:c r="A6" s="7" t="str">
        <x:v>E-06</x:v>
      </x:c>
      <x:c r="B6" s="7" t="str">
        <x:v>FA</x:v>
      </x:c>
      <x:c r="C6" s="7" t="str">
        <x:v>F3 + A3 + A4</x:v>
      </x:c>
      <x:c r="D6" s="7" t="str">
        <x:v>Usar gobierno de seguridad (F3) frente a exigencias de datos (A3) y gestión RAEE (A4) para asegurar trazabilidad de bajas de equipos y eliminación controlada de información.</x:v>
      </x:c>
      <x:c r="E6" s="7" t="str">
        <x:v>OBJ-05</x:v>
      </x:c>
      <x:c r="F6" s="7" t="str">
        <x:v>Asegurar trazabilidad y protección de datos durante la baja tecnológica.</x:v>
      </x:c>
      <x:c r="G6" s="7" t="str">
        <x:v>P-06</x:v>
      </x:c>
      <x:c r="H6" s="7" t="str">
        <x:v>Inventario y baja segura de activos tecnológicos</x:v>
      </x:c>
      <x:c r="I6" s="7" t="str">
        <x:v>Orden 1 según puntaje</x:v>
      </x:c>
      <x:c r="J6" s="7" t="str">
        <x:v>Propuesta académica; no proyecto aprobado por BCP</x:v>
      </x:c>
      <x:c r="K6" s="7" t="n">
        <x:v>0.4</x:v>
      </x:c>
      <x:c r="L6" s="7" t="n">
        <x:v>1.2</x:v>
      </x:c>
      <x:c r="M6" s="7" t="n">
        <x:f>K6*L6</x:f>
        <x:v>0.48</x:v>
      </x:c>
      <x:c r="N6" s="7" t="n">
        <x:v>1</x:v>
      </x:c>
    </x:row>
    <x:row r="7" ht="89" customHeight="1">
      <x:c r="A7" s="4" t="str">
        <x:v>E-10</x:v>
      </x:c>
      <x:c r="B7" s="4" t="str">
        <x:v>DA</x:v>
      </x:c>
      <x:c r="C7" s="4" t="str">
        <x:v>D2 + A1</x:v>
      </x:c>
      <x:c r="D7" s="4" t="str">
        <x:v>Reducir reclamos residuales por fraude (D2) frente a amenazas digitales (A1), aplicando detección por segmento y alertas adaptativas con evaluación de falsos positivos.</x:v>
      </x:c>
      <x:c r="E7" s="4" t="str">
        <x:v>OBJ-04</x:v>
      </x:c>
      <x:c r="F7" s="4" t="str">
        <x:v>Reducir impacto de fraude y ataques en canales digitales.</x:v>
      </x:c>
      <x:c r="G7" s="4" t="str">
        <x:v>P-10</x:v>
      </x:c>
      <x:c r="H7" s="4" t="str">
        <x:v>Detección adaptativa y evaluación de falsos positivos</x:v>
      </x:c>
      <x:c r="I7" s="4" t="str">
        <x:v>Orden 2 según puntaje</x:v>
      </x:c>
      <x:c r="J7" s="4" t="str">
        <x:v>Propuesta académica; no proyecto aprobado por BCP</x:v>
      </x:c>
      <x:c r="K7" s="4" t="n">
        <x:v>0.32</x:v>
      </x:c>
      <x:c r="L7" s="4" t="n">
        <x:v>1.35</x:v>
      </x:c>
      <x:c r="M7" s="4" t="n">
        <x:f>K7*L7</x:f>
        <x:v>0.43200000000000005</x:v>
      </x:c>
      <x:c r="N7" s="4" t="n">
        <x:v>2</x:v>
      </x:c>
    </x:row>
    <x:row r="8" ht="89" customHeight="1">
      <x:c r="A8" s="7" t="str">
        <x:v>E-12</x:v>
      </x:c>
      <x:c r="B8" s="7" t="str">
        <x:v>DA</x:v>
      </x:c>
      <x:c r="C8" s="7" t="str">
        <x:v>D4 + A3</x:v>
      </x:c>
      <x:c r="D8" s="7" t="str">
        <x:v>Madurar el marco de riesgos de IA generativa (D4) para mitigar exposición de datos (A3), integrando controles de finalidad, consentimiento y revisión humana durante el ciclo de modelos.</x:v>
      </x:c>
      <x:c r="E8" s="7" t="str">
        <x:v>OBJ-07</x:v>
      </x:c>
      <x:c r="F8" s="7" t="str">
        <x:v>Gobernar modelos y agentes de IA en servicios digitales.</x:v>
      </x:c>
      <x:c r="G8" s="7" t="str">
        <x:v>P-12</x:v>
      </x:c>
      <x:c r="H8" s="7" t="str">
        <x:v>Controles de datos y consentimiento para IA</x:v>
      </x:c>
      <x:c r="I8" s="7" t="str">
        <x:v>Orden 3 según puntaje</x:v>
      </x:c>
      <x:c r="J8" s="7" t="str">
        <x:v>Propuesta académica; no proyecto aprobado por BCP</x:v>
      </x:c>
      <x:c r="K8" s="7" t="n">
        <x:v>0.28</x:v>
      </x:c>
      <x:c r="L8" s="7" t="n">
        <x:v>1.35</x:v>
      </x:c>
      <x:c r="M8" s="7" t="n">
        <x:f>K8*L8</x:f>
        <x:v>0.37800000000000006</x:v>
      </x:c>
      <x:c r="N8" s="7" t="n">
        <x:v>3</x:v>
      </x:c>
    </x:row>
    <x:row r="9" ht="89" customHeight="1">
      <x:c r="A9" s="4" t="str">
        <x:v>E-04</x:v>
      </x:c>
      <x:c r="B9" s="4" t="str">
        <x:v>FA</x:v>
      </x:c>
      <x:c r="C9" s="4" t="str">
        <x:v>F3 + A1</x:v>
      </x:c>
      <x:c r="D9" s="4" t="str">
        <x:v>Usar ciberseguridad y continuidad (F3) para mitigar amenazas digitales (A1), ampliando ejercicios y detección de nuevas modalidades de fraude con medición de eficacia.</x:v>
      </x:c>
      <x:c r="E9" s="4" t="str">
        <x:v>OBJ-04</x:v>
      </x:c>
      <x:c r="F9" s="4" t="str">
        <x:v>Reducir impacto de fraude y ataques en canales digitales.</x:v>
      </x:c>
      <x:c r="G9" s="4" t="str">
        <x:v>P-04</x:v>
      </x:c>
      <x:c r="H9" s="4" t="str">
        <x:v>Evolución de detección y respuesta a fraude</x:v>
      </x:c>
      <x:c r="I9" s="4" t="str">
        <x:v>Orden 4 según puntaje</x:v>
      </x:c>
      <x:c r="J9" s="4" t="str">
        <x:v>Propuesta académica; no proyecto aprobado por BCP</x:v>
      </x:c>
      <x:c r="K9" s="4" t="n">
        <x:v>0.3</x:v>
      </x:c>
      <x:c r="L9" s="4" t="n">
        <x:v>1.2</x:v>
      </x:c>
      <x:c r="M9" s="4" t="n">
        <x:f>K9*L9</x:f>
        <x:v>0.36</x:v>
      </x:c>
      <x:c r="N9" s="4" t="n">
        <x:v>4</x:v>
      </x:c>
    </x:row>
    <x:row r="10" ht="89" customHeight="1">
      <x:c r="A10" s="7" t="str">
        <x:v>E-08</x:v>
      </x:c>
      <x:c r="B10" s="7" t="str">
        <x:v>DO</x:v>
      </x:c>
      <x:c r="C10" s="7" t="str">
        <x:v>D3 + O1 + O3</x:v>
      </x:c>
      <x:c r="D10" s="7" t="str">
        <x:v>Cerrar progresivamente la brecha candidata de accesibilidad (D3), aprovechando impulso digital (O1) y acceso a internet (O3), con inventario de flujos y pruebas con usuarios.</x:v>
      </x:c>
      <x:c r="E10" s="7" t="str">
        <x:v>OBJ-03</x:v>
      </x:c>
      <x:c r="F10" s="7" t="str">
        <x:v>Ampliar acceso efectivo a servicios digitales.</x:v>
      </x:c>
      <x:c r="G10" s="7" t="str">
        <x:v>P-08</x:v>
      </x:c>
      <x:c r="H10" s="7" t="str">
        <x:v>Ampliación de cobertura accesible y auditoría de flujos</x:v>
      </x:c>
      <x:c r="I10" s="7" t="str">
        <x:v>Orden 5 según puntaje</x:v>
      </x:c>
      <x:c r="J10" s="7" t="str">
        <x:v>Propuesta académica; no proyecto aprobado por BCP</x:v>
      </x:c>
      <x:c r="K10" s="7" t="n">
        <x:v>0.32</x:v>
      </x:c>
      <x:c r="L10" s="7" t="n">
        <x:v>1.1</x:v>
      </x:c>
      <x:c r="M10" s="7" t="n">
        <x:f>K10*L10</x:f>
        <x:v>0.35200000000000004</x:v>
      </x:c>
      <x:c r="N10" s="7" t="n">
        <x:v>5</x:v>
      </x:c>
    </x:row>
    <x:row r="11" ht="89" customHeight="1">
      <x:c r="A11" s="4" t="str">
        <x:v>E-07</x:v>
      </x:c>
      <x:c r="B11" s="4" t="str">
        <x:v>DO</x:v>
      </x:c>
      <x:c r="C11" s="4" t="str">
        <x:v>D1 + O2</x:v>
      </x:c>
      <x:c r="D11" s="4" t="str">
        <x:v>Reducir la brecha de atención de reclamos (D1) ante crecimiento de pagos (O2), automatizando clasificación y seguimiento con control humano y medición de tiempos.</x:v>
      </x:c>
      <x:c r="E11" s="4" t="str">
        <x:v>OBJ-06</x:v>
      </x:c>
      <x:c r="F11" s="4" t="str">
        <x:v>Mejorar oportunidad y trazabilidad de reclamos.</x:v>
      </x:c>
      <x:c r="G11" s="4" t="str">
        <x:v>P-07</x:v>
      </x:c>
      <x:c r="H11" s="4" t="str">
        <x:v>Automatización y seguimiento de reclamos</x:v>
      </x:c>
      <x:c r="I11" s="4" t="str">
        <x:v>Orden 6 según puntaje</x:v>
      </x:c>
      <x:c r="J11" s="4" t="str">
        <x:v>Propuesta académica; no proyecto aprobado por BCP</x:v>
      </x:c>
      <x:c r="K11" s="4" t="n">
        <x:v>0.3</x:v>
      </x:c>
      <x:c r="L11" s="4" t="n">
        <x:v>1.1</x:v>
      </x:c>
      <x:c r="M11" s="4" t="n">
        <x:f>K11*L11</x:f>
        <x:v>0.33</x:v>
      </x:c>
      <x:c r="N11" s="4" t="n">
        <x:v>6</x:v>
      </x:c>
    </x:row>
    <x:row r="12" ht="89" customHeight="1">
      <x:c r="A12" s="7" t="str">
        <x:v>E-03</x:v>
      </x:c>
      <x:c r="B12" s="7" t="str">
        <x:v>FO</x:v>
      </x:c>
      <x:c r="C12" s="7" t="str">
        <x:v>F4 + O1 + O3</x:v>
      </x:c>
      <x:c r="D12" s="7" t="str">
        <x:v>Usar entrega ágil (F4), impulso digital nacional (O1) y acceso creciente (O3) para pilotar servicios inclusivos con pruebas de accesibilidad en cada entrega.</x:v>
      </x:c>
      <x:c r="E12" s="7" t="str">
        <x:v>OBJ-03</x:v>
      </x:c>
      <x:c r="F12" s="7" t="str">
        <x:v>Ampliar acceso efectivo a servicios digitales.</x:v>
      </x:c>
      <x:c r="G12" s="7" t="str">
        <x:v>P-03</x:v>
      </x:c>
      <x:c r="H12" s="7" t="str">
        <x:v>Pilotos inclusivos y pruebas de accesibilidad</x:v>
      </x:c>
      <x:c r="I12" s="7" t="str">
        <x:v>Orden 7 según puntaje</x:v>
      </x:c>
      <x:c r="J12" s="7" t="str">
        <x:v>Propuesta académica; no proyecto aprobado por BCP</x:v>
      </x:c>
      <x:c r="K12" s="7" t="n">
        <x:v>0.3</x:v>
      </x:c>
      <x:c r="L12" s="7" t="n">
        <x:v>1</x:v>
      </x:c>
      <x:c r="M12" s="7" t="n">
        <x:f>K12*L12</x:f>
        <x:v>0.3</x:v>
      </x:c>
      <x:c r="N12" s="7" t="n">
        <x:v>7</x:v>
      </x:c>
    </x:row>
    <x:row r="13" ht="89" customHeight="1">
      <x:c r="A13" s="4" t="str">
        <x:v>E-11</x:v>
      </x:c>
      <x:c r="B13" s="4" t="str">
        <x:v>DA</x:v>
      </x:c>
      <x:c r="C13" s="4" t="str">
        <x:v>D3 + A2</x:v>
      </x:c>
      <x:c r="D13" s="4" t="str">
        <x:v>Reducir cobertura accesible aún en evolución (D3) ante barreras de conectividad (A2), combinando formatos accesibles y soporte asistido con pruebas por territorio y condición de acceso.</x:v>
      </x:c>
      <x:c r="E13" s="4" t="str">
        <x:v>OBJ-03</x:v>
      </x:c>
      <x:c r="F13" s="4" t="str">
        <x:v>Ampliar acceso efectivo a servicios digitales.</x:v>
      </x:c>
      <x:c r="G13" s="4" t="str">
        <x:v>P-11</x:v>
      </x:c>
      <x:c r="H13" s="4" t="str">
        <x:v>Accesibilidad y pruebas de atención en conectividad limitada</x:v>
      </x:c>
      <x:c r="I13" s="4" t="str">
        <x:v>Orden 8 según puntaje</x:v>
      </x:c>
      <x:c r="J13" s="4" t="str">
        <x:v>Propuesta académica; no proyecto aprobado por BCP</x:v>
      </x:c>
      <x:c r="K13" s="4" t="n">
        <x:v>0.22</x:v>
      </x:c>
      <x:c r="L13" s="4" t="n">
        <x:v>1.35</x:v>
      </x:c>
      <x:c r="M13" s="4" t="n">
        <x:f>K13*L13</x:f>
        <x:v>0.29700000000000004</x:v>
      </x:c>
      <x:c r="N13" s="4" t="n">
        <x:v>8</x:v>
      </x:c>
    </x:row>
    <x:row r="14" ht="89" customHeight="1">
      <x:c r="A14" s="7" t="str">
        <x:v>E-05</x:v>
      </x:c>
      <x:c r="B14" s="7" t="str">
        <x:v>FA</x:v>
      </x:c>
      <x:c r="C14" s="7" t="str">
        <x:v>F1 + A2</x:v>
      </x:c>
      <x:c r="D14" s="7" t="str">
        <x:v>Usar la escala del ecosistema digital (F1) para mitigar exclusión por conectividad (A2), diseñando rutas de bajo consumo y atención asistida enlazadas al canal digital.</x:v>
      </x:c>
      <x:c r="E14" s="7" t="str">
        <x:v>OBJ-03</x:v>
      </x:c>
      <x:c r="F14" s="7" t="str">
        <x:v>Ampliar acceso efectivo a servicios digitales.</x:v>
      </x:c>
      <x:c r="G14" s="7" t="str">
        <x:v>P-05</x:v>
      </x:c>
      <x:c r="H14" s="7" t="str">
        <x:v>Canales ligeros y continuidad de atención asistida</x:v>
      </x:c>
      <x:c r="I14" s="7" t="str">
        <x:v>Orden 9 según puntaje</x:v>
      </x:c>
      <x:c r="J14" s="7" t="str">
        <x:v>Propuesta académica; no proyecto aprobado por BCP</x:v>
      </x:c>
      <x:c r="K14" s="7" t="n">
        <x:v>0.22</x:v>
      </x:c>
      <x:c r="L14" s="7" t="n">
        <x:v>1.2</x:v>
      </x:c>
      <x:c r="M14" s="7" t="n">
        <x:f>K14*L14</x:f>
        <x:v>0.264</x:v>
      </x:c>
      <x:c r="N14" s="7" t="n">
        <x:v>9</x:v>
      </x:c>
    </x:row>
    <x:row r="15" ht="104" customHeight="1">
      <x:c r="A15" s="4" t="str">
        <x:v>E-09</x:v>
      </x:c>
      <x:c r="B15" s="4" t="str">
        <x:v>DO</x:v>
      </x:c>
      <x:c r="C15" s="4" t="str">
        <x:v>D4 + O4</x:v>
      </x:c>
      <x:c r="D15" s="4" t="str">
        <x:v>Madurar el marco específico de riesgos de IA generativa (D4) para aprovechar integración digital (O4), incorporando evaluación de modelos y control de agentes antes de desplegarlos en servicios conectados.</x:v>
      </x:c>
      <x:c r="E15" s="4" t="str">
        <x:v>OBJ-07</x:v>
      </x:c>
      <x:c r="F15" s="4" t="str">
        <x:v>Gobernar modelos y agentes de IA en servicios digitales.</x:v>
      </x:c>
      <x:c r="G15" s="4" t="str">
        <x:v>P-09</x:v>
      </x:c>
      <x:c r="H15" s="4" t="str">
        <x:v>Marco de riesgo y evaluación de agentes de IA</x:v>
      </x:c>
      <x:c r="I15" s="4" t="str">
        <x:v>Orden 10 según puntaje</x:v>
      </x:c>
      <x:c r="J15" s="4" t="str">
        <x:v>Propuesta académica; no proyecto aprobado por BCP</x:v>
      </x:c>
      <x:c r="K15" s="4" t="n">
        <x:v>0.24</x:v>
      </x:c>
      <x:c r="L15" s="4" t="n">
        <x:v>1.1</x:v>
      </x:c>
      <x:c r="M15" s="4" t="n">
        <x:f>K15*L15</x:f>
        <x:v>0.264</x:v>
      </x:c>
      <x:c r="N15" s="4" t="n">
        <x:v>10</x:v>
      </x:c>
    </x:row>
    <x:row r="16" ht="74" customHeight="1">
      <x:c r="A16" s="7" t="str">
        <x:v>E-01</x:v>
      </x:c>
      <x:c r="B16" s="7" t="str">
        <x:v>FO</x:v>
      </x:c>
      <x:c r="C16" s="7" t="str">
        <x:v>F1 + O2</x:v>
      </x:c>
      <x:c r="D16" s="7" t="str">
        <x:v>Aprovechar la escala digital (F1) y expansión de demanda de pagos (O2) para ampliar la capacidad y observabilidad de pagos en segmentos prioritarios.</x:v>
      </x:c>
      <x:c r="E16" s="7" t="str">
        <x:v>OBJ-01</x:v>
      </x:c>
      <x:c r="F16" s="7" t="str">
        <x:v>Sostener crecimiento digital con calidad de servicio.</x:v>
      </x:c>
      <x:c r="G16" s="7" t="str">
        <x:v>P-01</x:v>
      </x:c>
      <x:c r="H16" s="7" t="str">
        <x:v>Capacidad y observabilidad de pagos</x:v>
      </x:c>
      <x:c r="I16" s="7" t="str">
        <x:v>Orden 11 según puntaje</x:v>
      </x:c>
      <x:c r="J16" s="7" t="str">
        <x:v>Propuesta académica; no proyecto aprobado por BCP</x:v>
      </x:c>
      <x:c r="K16" s="7" t="n">
        <x:v>0.24</x:v>
      </x:c>
      <x:c r="L16" s="7" t="n">
        <x:v>1</x:v>
      </x:c>
      <x:c r="M16" s="7" t="n">
        <x:f>K16*L16</x:f>
        <x:v>0.24</x:v>
      </x:c>
      <x:c r="N16" s="7" t="n">
        <x:v>11</x:v>
      </x:c>
    </x:row>
    <x:row r="17" ht="89" customHeight="1">
      <x:c r="A17" s="4" t="str">
        <x:v>E-02</x:v>
      </x:c>
      <x:c r="B17" s="4" t="str">
        <x:v>FO</x:v>
      </x:c>
      <x:c r="C17" s="4" t="str">
        <x:v>F2 + O4</x:v>
      </x:c>
      <x:c r="D17" s="4" t="str">
        <x:v>Usar la analítica (F2) ante integración del ecosistema de pagos (O4) para monitorear recorridos y detectar fricciones de transacciones entre participantes.</x:v>
      </x:c>
      <x:c r="E17" s="4" t="str">
        <x:v>OBJ-02</x:v>
      </x:c>
      <x:c r="F17" s="4" t="str">
        <x:v>Reducir fricciones en servicios integrados.</x:v>
      </x:c>
      <x:c r="G17" s="4" t="str">
        <x:v>P-02</x:v>
      </x:c>
      <x:c r="H17" s="4" t="str">
        <x:v>Analítica de recorridos de pagos e integración</x:v>
      </x:c>
      <x:c r="I17" s="4" t="str">
        <x:v>Orden 12 según puntaje</x:v>
      </x:c>
      <x:c r="J17" s="4" t="str">
        <x:v>Propuesta académica; no proyecto aprobado por BCP</x:v>
      </x:c>
      <x:c r="K17" s="4" t="n">
        <x:v>0.22</x:v>
      </x:c>
      <x:c r="L17" s="4" t="n">
        <x:v>1</x:v>
      </x:c>
      <x:c r="M17" s="4" t="n">
        <x:f>K17*L17</x:f>
        <x:v>0.22</x:v>
      </x:c>
      <x:c r="N17" s="4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2">
      <x:c r="A2" s="1" t="str">
        <x:v>Método de la guía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Método</x:v>
      </x:c>
      <x:c r="B5" s="6" t="str">
        <x:v>Bonos</x:v>
      </x:c>
      <x:c r="C5" s="6" t="str">
        <x:v>Límite</x:v>
      </x:c>
    </x:row>
    <x:row r="6" ht="65" customHeight="1">
      <x:c r="A6" s="7" t="str">
        <x:v>Suma de pesos de factores únicos por bono del tipo</x:v>
      </x:c>
      <x:c r="B6" s="7" t="str">
        <x:v>DA=1.35; FA=1.20; DO=1.10; FO=1.00</x:v>
      </x:c>
      <x:c r="C6" s="7" t="str">
        <x:v>Orden académico; no sustituye presupuesto, dependencias ni calendario.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40" hidden="0" customWidth="1"/>
    <x:col min="4" max="4" width="13" hidden="0" customWidth="1"/>
    <x:col min="5" max="5" width="13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13" hidden="0" customWidth="1"/>
  </x:cols>
  <x:sheetData>
    <x:row r="2">
      <x:c r="A2" s="1" t="str">
        <x:v>Pesos EFI utilizados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tipo</x:v>
      </x:c>
      <x:c r="C5" s="6" t="str">
        <x:v>factor</x:v>
      </x:c>
      <x:c r="D5" s="6" t="str">
        <x:v>peso</x:v>
      </x:c>
      <x:c r="E5" s="6" t="str">
        <x:v>calificacion</x:v>
      </x:c>
      <x:c r="F5" s="6" t="str">
        <x:v>evidencia_id</x:v>
      </x:c>
      <x:c r="G5" s="6" t="str">
        <x:v>evidencia</x:v>
      </x:c>
      <x:c r="H5" s="6" t="str">
        <x:v>paginas</x:v>
      </x:c>
      <x:c r="I5" s="6" t="str">
        <x:v>fuente</x:v>
      </x:c>
      <x:c r="J5" s="6" t="str">
        <x:v>seccion_origen</x:v>
      </x:c>
      <x:c r="K5" s="6" t="str">
        <x:v>justificacion_peso</x:v>
      </x:c>
      <x:c r="L5" s="6" t="str">
        <x:v>justificacion_calificacion</x:v>
      </x:c>
      <x:c r="M5" s="6" t="str">
        <x:v>estado</x:v>
      </x:c>
      <x:c r="N5" s="6" t="str">
        <x:v>ponderado</x:v>
      </x:c>
    </x:row>
    <x:row r="6" ht="89" customHeight="1">
      <x:c r="A6" s="7" t="str">
        <x:v>F1</x:v>
      </x:c>
      <x:c r="B6" s="7" t="str">
        <x:v>F</x:v>
      </x:c>
      <x:c r="C6" s="7" t="str">
        <x:v>Escala y uso del ecosistema digital</x:v>
      </x:c>
      <x:c r="D6" s="7" t="n">
        <x:v>0.12</x:v>
      </x:c>
      <x:c r="E6" s="7" t="n">
        <x:v>4</x:v>
      </x:c>
      <x:c r="F6" s="7" t="str">
        <x:v>EV01; EV11</x:v>
      </x:c>
      <x:c r="G6" s="7" t="str">
        <x:v>Yape: 15,9 millones de usuarios activos mensuales y 66,49 transacciones mensuales promedio por usuario activo. / 89 % de transacciones monetarias en canales digitales en Banca Personas.</x:v>
      </x:c>
      <x:c r="H6" s="7" t="str">
        <x:v>17 / 14</x:v>
      </x:c>
      <x:c r="I6" s="7" t="str">
        <x:v>BCP25</x:v>
      </x:c>
      <x:c r="J6" s="7" t="str">
        <x:v>3.1 Diagnóstico interno</x:v>
      </x:c>
      <x:c r="K6" s="7" t="str">
        <x:v>Importancia relativa académica: 0.12. Se priorizan confianza y servicio en reclamos, fraude, seguridad y cobertura; no representa proporción del costo ni dato del banco.</x:v>
      </x:c>
      <x:c r="L6" s="7" t="str">
        <x:v>La escala de usuarios y adopción digital sustenta capacidad relevante para el negocio, no una ventaja VRIO sostenible.</x:v>
      </x:c>
      <x:c r="M6" s="7" t="str">
        <x:v>Fortaleza valorada</x:v>
      </x:c>
      <x:c r="N6" s="7" t="n">
        <x:v>0.48</x:v>
      </x:c>
    </x:row>
    <x:row r="7" ht="89" customHeight="1">
      <x:c r="A7" s="4" t="str">
        <x:v>F2</x:v>
      </x:c>
      <x:c r="B7" s="4" t="str">
        <x:v>F</x:v>
      </x:c>
      <x:c r="C7" s="4" t="str">
        <x:v>Analítica con beneficios reportados</x:v>
      </x:c>
      <x:c r="D7" s="4" t="n">
        <x:v>0.1</x:v>
      </x:c>
      <x:c r="E7" s="4" t="n">
        <x:v>3</x:v>
      </x:c>
      <x:c r="F7" s="4" t="str">
        <x:v>EV02</x:v>
      </x:c>
      <x:c r="G7" s="4" t="str">
        <x:v>S/152,7 millones de valor mediante analítica avanzada; S/53,5 millones de beneficios con soluciones de datos.</x:v>
      </x:c>
      <x:c r="H7" s="4" t="str">
        <x:v>46</x:v>
      </x:c>
      <x:c r="I7" s="4" t="str">
        <x:v>BCP25</x:v>
      </x:c>
      <x:c r="J7" s="4" t="str">
        <x:v>3.1 Diagnóstico interno</x:v>
      </x:c>
      <x:c r="K7" s="4" t="str">
        <x:v>Importancia relativa académica: 0.10. Se priorizan confianza y servicio en reclamos, fraude, seguridad y cobertura; no representa proporción del costo ni dato del banco.</x:v>
      </x:c>
      <x:c r="L7" s="4" t="str">
        <x:v>Capacidad con beneficios cuantificados; valoración menor por ausencia de auditoría específica de atribución tecnológica.</x:v>
      </x:c>
      <x:c r="M7" s="4" t="str">
        <x:v>Fortaleza valorada</x:v>
      </x:c>
      <x:c r="N7" s="4" t="n">
        <x:v>0.3</x:v>
      </x:c>
    </x:row>
    <x:row r="8" ht="119" customHeight="1">
      <x:c r="A8" s="7" t="str">
        <x:v>F3</x:v>
      </x:c>
      <x:c r="B8" s="7" t="str">
        <x:v>F</x:v>
      </x:c>
      <x:c r="C8" s="7" t="str">
        <x:v>Gobierno y programa de ciberseguridad y continuidad</x:v>
      </x:c>
      <x:c r="D8" s="7" t="n">
        <x:v>0.12</x:v>
      </x:c>
      <x:c r="E8" s="7" t="n">
        <x:v>3</x:v>
      </x:c>
      <x:c r="F8" s="7" t="str">
        <x:v>EV03; EV14</x:v>
      </x:c>
      <x:c r="G8" s="7" t="str">
        <x:v>Programa de ciberseguridad, evaluaciones independientes y ausencia de incidentes significativos reportados en 2025. / Programa anual de continuidad, actualización y pruebas de planes, análisis de impacto y ejercicio de crisis con ciberseguridad y deepfakes.</x:v>
      </x:c>
      <x:c r="H8" s="7" t="str">
        <x:v>57 / 51</x:v>
      </x:c>
      <x:c r="I8" s="7" t="str">
        <x:v>BCP25</x:v>
      </x:c>
      <x:c r="J8" s="7" t="str">
        <x:v>3.1 Diagnóstico interno</x:v>
      </x:c>
      <x:c r="K8" s="7" t="str">
        <x:v>Importancia relativa académica: 0.12. Se priorizan confianza y servicio en reclamos, fraude, seguridad y cobertura; no representa proporción del costo ni dato del banco.</x:v>
      </x:c>
      <x:c r="L8" s="7" t="str">
        <x:v>Capacidad organizada, ejercicios y evaluaciones reportados; no se presupone inmunidad a ataques.</x:v>
      </x:c>
      <x:c r="M8" s="7" t="str">
        <x:v>Fortaleza valorada</x:v>
      </x:c>
      <x:c r="N8" s="7" t="n">
        <x:v>0.36</x:v>
      </x:c>
    </x:row>
    <x:row r="9" ht="89" customHeight="1">
      <x:c r="A9" s="4" t="str">
        <x:v>F4</x:v>
      </x:c>
      <x:c r="B9" s="4" t="str">
        <x:v>F</x:v>
      </x:c>
      <x:c r="C9" s="4" t="str">
        <x:v>Entrega tecnológica ágil con mejoras medibles</x:v>
      </x:c>
      <x:c r="D9" s="4" t="n">
        <x:v>0.1</x:v>
      </x:c>
      <x:c r="E9" s="4" t="n">
        <x:v>3</x:v>
      </x:c>
      <x:c r="F9" s="4" t="str">
        <x:v>EV04</x:v>
      </x:c>
      <x:c r="G9" s="4" t="str">
        <x:v>Time to market reducido 21 %; 29 días en 70 % de casos; costo de producción tecnológica reducido 12 %.</x:v>
      </x:c>
      <x:c r="H9" s="4" t="str">
        <x:v>45</x:v>
      </x:c>
      <x:c r="I9" s="4" t="str">
        <x:v>BCP25</x:v>
      </x:c>
      <x:c r="J9" s="4" t="str">
        <x:v>3.1 Diagnóstico interno</x:v>
      </x:c>
      <x:c r="K9" s="4" t="str">
        <x:v>Importancia relativa académica: 0.10. Se priorizan confianza y servicio en reclamos, fraude, seguridad y cobertura; no representa proporción del costo ni dato del banco.</x:v>
      </x:c>
      <x:c r="L9" s="4" t="str">
        <x:v>Mejora de tiempos y costos interanual; no se afirma liderazgo sectorial por falta de comparación.</x:v>
      </x:c>
      <x:c r="M9" s="4" t="str">
        <x:v>Fortaleza valorada</x:v>
      </x:c>
      <x:c r="N9" s="4" t="n">
        <x:v>0.3</x:v>
      </x:c>
    </x:row>
    <x:row r="10" ht="89" customHeight="1">
      <x:c r="A10" s="7" t="str">
        <x:v>D1</x:v>
      </x:c>
      <x:c r="B10" s="7" t="str">
        <x:v>D</x:v>
      </x:c>
      <x:c r="C10" s="7" t="str">
        <x:v>Atención de reclamos aún no totalmente resuelta en 48 horas</x:v>
      </x:c>
      <x:c r="D10" s="7" t="n">
        <x:v>0.18</x:v>
      </x:c>
      <x:c r="E10" s="7" t="n">
        <x:v>2</x:v>
      </x:c>
      <x:c r="F10" s="7" t="str">
        <x:v>EV05</x:v>
      </x:c>
      <x:c r="G10" s="7" t="str">
        <x:v>67 % de reclamos atendidos en 48 horas.</x:v>
      </x:c>
      <x:c r="H10" s="7" t="str">
        <x:v>24</x:v>
      </x:c>
      <x:c r="I10" s="7" t="str">
        <x:v>BCP25</x:v>
      </x:c>
      <x:c r="J10" s="7" t="str">
        <x:v>3.1 Diagnóstico interno</x:v>
      </x:c>
      <x:c r="K10" s="7" t="str">
        <x:v>Importancia relativa académica: 0.18. Se priorizan confianza y servicio en reclamos, fraude, seguridad y cobertura; no representa proporción del costo ni dato del banco.</x:v>
      </x:c>
      <x:c r="L10" s="7" t="str">
        <x:v>Brecha de mejora inferida: 33 % excede 48 horas. No constituye un incumplimiento legal ni comparación negativa sectorial.</x:v>
      </x:c>
      <x:c r="M10" s="7" t="str">
        <x:v>Brecha candidata inferida, no fallo declarado por BCP</x:v>
      </x:c>
      <x:c r="N10" s="7" t="n">
        <x:v>0.36</x:v>
      </x:c>
    </x:row>
    <x:row r="11" ht="89" customHeight="1">
      <x:c r="A11" s="4" t="str">
        <x:v>D2</x:v>
      </x:c>
      <x:c r="B11" s="4" t="str">
        <x:v>D</x:v>
      </x:c>
      <x:c r="C11" s="4" t="str">
        <x:v>Persistencia de reclamos por fraude digital</x:v>
      </x:c>
      <x:c r="D11" s="4" t="n">
        <x:v>0.14</x:v>
      </x:c>
      <x:c r="E11" s="4" t="n">
        <x:v>2</x:v>
      </x:c>
      <x:c r="F11" s="4" t="str">
        <x:v>EV06</x:v>
      </x:c>
      <x:c r="G11" s="4" t="str">
        <x:v>Reclamos por fraude digital: 48 a 33 por cada 10 000 clientes entre 2024 y 2025.</x:v>
      </x:c>
      <x:c r="H11" s="4" t="str">
        <x:v>25</x:v>
      </x:c>
      <x:c r="I11" s="4" t="str">
        <x:v>BCP25</x:v>
      </x:c>
      <x:c r="J11" s="4" t="str">
        <x:v>3.1 Diagnóstico interno</x:v>
      </x:c>
      <x:c r="K11" s="4" t="str">
        <x:v>Importancia relativa académica: 0.14. Se priorizan confianza y servicio en reclamos, fraude, seguridad y cobertura; no representa proporción del costo ni dato del banco.</x:v>
      </x:c>
      <x:c r="L11" s="4" t="str">
        <x:v>Riesgo residual con 33 reclamos por 10 000 clientes, pese a mejora. Debilidad candidata de eficacia residual; no ausencia de controles.</x:v>
      </x:c>
      <x:c r="M11" s="4" t="str">
        <x:v>Brecha candidata inferida, no fallo declarado por BCP</x:v>
      </x:c>
      <x:c r="N11" s="4" t="n">
        <x:v>0.28</x:v>
      </x:c>
    </x:row>
    <x:row r="12" ht="89" customHeight="1">
      <x:c r="A12" s="7" t="str">
        <x:v>D3</x:v>
      </x:c>
      <x:c r="B12" s="7" t="str">
        <x:v>D</x:v>
      </x:c>
      <x:c r="C12" s="7" t="str">
        <x:v>Accesibilidad digital en extensión progresiva</x:v>
      </x:c>
      <x:c r="D12" s="7" t="n">
        <x:v>0.12</x:v>
      </x:c>
      <x:c r="E12" s="7" t="n">
        <x:v>2</x:v>
      </x:c>
      <x:c r="F12" s="7" t="str">
        <x:v>EV07</x:v>
      </x:c>
      <x:c r="G12" s="7" t="str">
        <x:v>Cinco funcionalidades básicas de Yape compatibles con lectores de pantalla y primera versión accesible de Banca Móvil Android; hoja de ruta progresiva.</x:v>
      </x:c>
      <x:c r="H12" s="7" t="str">
        <x:v>25</x:v>
      </x:c>
      <x:c r="I12" s="7" t="str">
        <x:v>BCP25</x:v>
      </x:c>
      <x:c r="J12" s="7" t="str">
        <x:v>3.1 Diagnóstico interno</x:v>
      </x:c>
      <x:c r="K12" s="7" t="str">
        <x:v>Importancia relativa académica: 0.12. Se priorizan confianza y servicio en reclamos, fraude, seguridad y cobertura; no representa proporción del costo ni dato del banco.</x:v>
      </x:c>
      <x:c r="L12" s="7" t="str">
        <x:v>Cobertura focalizada y hoja de ruta en evolución. Brecha candidata de cobertura, sin afirmar que otros flujos sean inaccesibles.</x:v>
      </x:c>
      <x:c r="M12" s="7" t="str">
        <x:v>Brecha candidata inferida, no fallo declarado por BCP</x:v>
      </x:c>
      <x:c r="N12" s="7" t="n">
        <x:v>0.24</x:v>
      </x:c>
    </x:row>
    <x:row r="13" ht="134" customHeight="1">
      <x:c r="A13" s="4" t="str">
        <x:v>D4</x:v>
      </x:c>
      <x:c r="B13" s="4" t="str">
        <x:v>D</x:v>
      </x:c>
      <x:c r="C13" s="4" t="str">
        <x:v>Marco específico de riesgo de IA generativa en desarrollo</x:v>
      </x:c>
      <x:c r="D13" s="4" t="n">
        <x:v>0.12</x:v>
      </x:c>
      <x:c r="E13" s="4" t="n">
        <x:v>2</x:v>
      </x:c>
      <x:c r="F13" s="4" t="str">
        <x:v>EV08; EV09</x:v>
      </x:c>
      <x:c r="G13" s="4" t="str">
        <x:v>Comenzó el desarrollo de un marco de riesgos específicos de IA generativa, como opacidad y ética. / Política de IA responsable; programa de protección de datos, gestor y autogestión de consentimiento, formación y tres años sin filtraciones, robos o pérdidas reportados.</x:v>
      </x:c>
      <x:c r="H13" s="4" t="str">
        <x:v>51 / 58</x:v>
      </x:c>
      <x:c r="I13" s="4" t="str">
        <x:v>BCP25</x:v>
      </x:c>
      <x:c r="J13" s="4" t="str">
        <x:v>3.1 Diagnóstico interno</x:v>
      </x:c>
      <x:c r="K13" s="4" t="str">
        <x:v>Importancia relativa académica: 0.12. Se priorizan confianza y servicio en reclamos, fraude, seguridad y cobertura; no representa proporción del costo ni dato del banco.</x:v>
      </x:c>
      <x:c r="L13" s="4" t="str">
        <x:v>Marco específico comenzó a desarrollarse a cierre 2025. Brecha de madurez candidata; existe política de IA responsable y no se desconoce su gobierno.</x:v>
      </x:c>
      <x:c r="M13" s="4" t="str">
        <x:v>Brecha candidata inferida, no fallo declarado por BCP</x:v>
      </x:c>
      <x:c r="N13" s="4" t="n">
        <x:v>0.24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40" hidden="0" customWidth="1"/>
    <x:col min="4" max="4" width="13" hidden="0" customWidth="1"/>
    <x:col min="5" max="5" width="13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13" hidden="0" customWidth="1"/>
  </x:cols>
  <x:sheetData>
    <x:row r="2">
      <x:c r="A2" s="1" t="str">
        <x:v>Pesos EFE utilizados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tipo</x:v>
      </x:c>
      <x:c r="C5" s="6" t="str">
        <x:v>factor</x:v>
      </x:c>
      <x:c r="D5" s="6" t="str">
        <x:v>peso</x:v>
      </x:c>
      <x:c r="E5" s="6" t="str">
        <x:v>calificacion</x:v>
      </x:c>
      <x:c r="F5" s="6" t="str">
        <x:v>pestel_id</x:v>
      </x:c>
      <x:c r="G5" s="6" t="str">
        <x:v>fuentes_entorno</x:v>
      </x:c>
      <x:c r="H5" s="6" t="str">
        <x:v>evidencia_respuesta</x:v>
      </x:c>
      <x:c r="I5" s="6" t="str">
        <x:v>paginas_respuesta</x:v>
      </x:c>
      <x:c r="J5" s="6" t="str">
        <x:v>justificacion_peso</x:v>
      </x:c>
      <x:c r="K5" s="6" t="str">
        <x:v>justificacion_calificacion</x:v>
      </x:c>
      <x:c r="L5" s="6" t="str">
        <x:v>estado_calificacion</x:v>
      </x:c>
      <x:c r="M5" s="6" t="str">
        <x:v>seccion_origen</x:v>
      </x:c>
      <x:c r="N5" s="6" t="str">
        <x:v>ponderado</x:v>
      </x:c>
    </x:row>
    <x:row r="6" ht="119" customHeight="1">
      <x:c r="A6" s="7" t="str">
        <x:v>O1</x:v>
      </x:c>
      <x:c r="B6" s="7" t="str">
        <x:v>O</x:v>
      </x:c>
      <x:c r="C6" s="7" t="str">
        <x:v>Impulso nacional a transformación e inclusión digital</x:v>
      </x:c>
      <x:c r="D6" s="7" t="n">
        <x:v>0.08</x:v>
      </x:c>
      <x:c r="E6" s="7" t="n">
        <x:v>3</x:v>
      </x:c>
      <x:c r="F6" s="7" t="str">
        <x:v>PE-01</x:v>
      </x:c>
      <x:c r="G6" s="7" t="str">
        <x:v>EXT01</x:v>
      </x:c>
      <x:c r="H6" s="7" t="str">
        <x:v>EV13</x:v>
      </x:c>
      <x:c r="I6" s="7" t="str">
        <x:v>29</x:v>
      </x:c>
      <x:c r="J6" s="7" t="str">
        <x:v>Peso 0.08, juicio académico según alcance. A1/A3 priorizan confianza y obligaciones; O2/O4 relacionan demanda e integración; O3/A2 diferencian acceso y exclusión, sin duplicar población.</x:v>
      </x:c>
      <x:c r="K6" s="7" t="str">
        <x:v>Inclusión acumulada de 6,6 millones de personas: respuesta pertinente y ejecutada al impulso digital nacional. Valoración 3 por acciones concretas y resultados o cobertura descritos. No se asigna 4 sin demostración comparativa más sólida.</x:v>
      </x:c>
      <x:c r="L6" s="7" t="str">
        <x:v>Valoración académica con respuesta reportada; sin benchmark estadístico sectorial</x:v>
      </x:c>
      <x:c r="M6" s="7" t="str">
        <x:v>3.2 / 3.3 PESTEL</x:v>
      </x:c>
      <x:c r="N6" s="7" t="n">
        <x:v>0.24</x:v>
      </x:c>
    </x:row>
    <x:row r="7" ht="119" customHeight="1">
      <x:c r="A7" s="4" t="str">
        <x:v>O2</x:v>
      </x:c>
      <x:c r="B7" s="4" t="str">
        <x:v>O</x:v>
      </x:c>
      <x:c r="C7" s="4" t="str">
        <x:v>Expansión de la demanda de pagos digitales</x:v>
      </x:c>
      <x:c r="D7" s="4" t="n">
        <x:v>0.12</x:v>
      </x:c>
      <x:c r="E7" s="4" t="n">
        <x:v>3</x:v>
      </x:c>
      <x:c r="F7" s="4" t="str">
        <x:v>PE-02</x:v>
      </x:c>
      <x:c r="G7" s="4" t="str">
        <x:v>EXT02</x:v>
      </x:c>
      <x:c r="H7" s="4" t="str">
        <x:v>EV01; EV11</x:v>
      </x:c>
      <x:c r="I7" s="4" t="str">
        <x:v>17 / 14</x:v>
      </x:c>
      <x:c r="J7" s="4" t="str">
        <x:v>Peso 0.12, juicio académico según alcance. A1/A3 priorizan confianza y obligaciones; O2/O4 relacionan demanda e integración; O3/A2 diferencian acceso y exclusión, sin duplicar población.</x:v>
      </x:c>
      <x:c r="K7" s="4" t="str">
        <x:v>Uso masivo de Yape y 89 % digital en transacciones monetarias de Banca Personas: capacidad efectiva frente a demanda de pagos. Valoración 3 por acciones concretas y resultados o cobertura descritos. No se asigna 4 sin demostración comparativa más sólida.</x:v>
      </x:c>
      <x:c r="L7" s="4" t="str">
        <x:v>Valoración académica con respuesta reportada; sin benchmark estadístico sectorial</x:v>
      </x:c>
      <x:c r="M7" s="4" t="str">
        <x:v>3.2 / 3.3 PESTEL</x:v>
      </x:c>
      <x:c r="N7" s="4" t="n">
        <x:v>0.36</x:v>
      </x:c>
    </x:row>
    <x:row r="8" ht="119" customHeight="1">
      <x:c r="A8" s="7" t="str">
        <x:v>O3</x:v>
      </x:c>
      <x:c r="B8" s="7" t="str">
        <x:v>O</x:v>
      </x:c>
      <x:c r="C8" s="7" t="str">
        <x:v>Ampliación del acceso a internet</x:v>
      </x:c>
      <x:c r="D8" s="7" t="n">
        <x:v>0.12</x:v>
      </x:c>
      <x:c r="E8" s="7" t="n">
        <x:v>3</x:v>
      </x:c>
      <x:c r="F8" s="7" t="str">
        <x:v>PE-03</x:v>
      </x:c>
      <x:c r="G8" s="7" t="str">
        <x:v>EXT03</x:v>
      </x:c>
      <x:c r="H8" s="7" t="str">
        <x:v>EV07</x:v>
      </x:c>
      <x:c r="I8" s="7" t="str">
        <x:v>25</x:v>
      </x:c>
      <x:c r="J8" s="7" t="str">
        <x:v>Peso 0.12, juicio académico según alcance. A1/A3 priorizan confianza y obligaciones; O2/O4 relacionan demanda e integración; O3/A2 diferencian acceso y exclusión, sin duplicar población.</x:v>
      </x:c>
      <x:c r="K8" s="7" t="str">
        <x:v>Funciones accesibles y Banca Móvil Android adaptada: respuesta operativa al acceso digital; no se afirma cobertura total. Valoración 3 por acciones concretas y resultados o cobertura descritos. No se asigna 4 sin demostración comparativa más sólida.</x:v>
      </x:c>
      <x:c r="L8" s="7" t="str">
        <x:v>Valoración académica con respuesta reportada; sin benchmark estadístico sectorial</x:v>
      </x:c>
      <x:c r="M8" s="7" t="str">
        <x:v>3.2 / 3.3 PESTEL</x:v>
      </x:c>
      <x:c r="N8" s="7" t="n">
        <x:v>0.36</x:v>
      </x:c>
    </x:row>
    <x:row r="9" ht="134" customHeight="1">
      <x:c r="A9" s="4" t="str">
        <x:v>A2</x:v>
      </x:c>
      <x:c r="B9" s="4" t="str">
        <x:v>A</x:v>
      </x:c>
      <x:c r="C9" s="4" t="str">
        <x:v>Desigualdad de conectividad</x:v>
      </x:c>
      <x:c r="D9" s="4" t="n">
        <x:v>0.1</x:v>
      </x:c>
      <x:c r="E9" s="4" t="n">
        <x:v>3</x:v>
      </x:c>
      <x:c r="F9" s="4" t="str">
        <x:v>PE-04</x:v>
      </x:c>
      <x:c r="G9" s="4" t="str">
        <x:v>EXT03</x:v>
      </x:c>
      <x:c r="H9" s="4" t="str">
        <x:v>EV06; EV07</x:v>
      </x:c>
      <x:c r="I9" s="4" t="str">
        <x:v>25 / 25</x:v>
      </x:c>
      <x:c r="J9" s="4" t="str">
        <x:v>Peso 0.10, juicio académico según alcance. A1/A3 priorizan confianza y obligaciones; O2/O4 relacionan demanda e integración; O3/A2 diferencian acceso y exclusión, sin duplicar población.</x:v>
      </x:c>
      <x:c r="K9" s="4" t="str">
        <x:v>Bloqueo de emergencia mediante 10,3 mil agentes incluso sin dispositivo móvil y accesibilidad: mitigación asistida documentada, sin afirmar eliminación de brecha rural. Valoración 3 por acciones concretas y resultados o cobertura descritos. No se asigna 4 sin demostración comparativa más sólida.</x:v>
      </x:c>
      <x:c r="L9" s="4" t="str">
        <x:v>Valoración académica con respuesta reportada; sin benchmark estadístico sectorial</x:v>
      </x:c>
      <x:c r="M9" s="4" t="str">
        <x:v>3.2 / 3.3 PESTEL</x:v>
      </x:c>
      <x:c r="N9" s="4" t="n">
        <x:v>0.3</x:v>
      </x:c>
    </x:row>
    <x:row r="10" ht="149" customHeight="1">
      <x:c r="A10" s="7" t="str">
        <x:v>O4</x:v>
      </x:c>
      <x:c r="B10" s="7" t="str">
        <x:v>O</x:v>
      </x:c>
      <x:c r="C10" s="7" t="str">
        <x:v>Interoperabilidad y apertura del ecosistema de pagos</x:v>
      </x:c>
      <x:c r="D10" s="7" t="n">
        <x:v>0.12</x:v>
      </x:c>
      <x:c r="E10" s="7" t="n">
        <x:v>3</x:v>
      </x:c>
      <x:c r="F10" s="7" t="str">
        <x:v>PE-05</x:v>
      </x:c>
      <x:c r="G10" s="7" t="str">
        <x:v>EXT04</x:v>
      </x:c>
      <x:c r="H10" s="7" t="str">
        <x:v>EV12</x:v>
      </x:c>
      <x:c r="I10" s="7" t="str">
        <x:v>16</x:v>
      </x:c>
      <x:c r="J10" s="7" t="str">
        <x:v>Peso 0.12, juicio académico según alcance. A1/A3 priorizan confianza y obligaciones; O2/O4 relacionan demanda e integración; O3/A2 diferencian acceso y exclusión, sin duplicar población.</x:v>
      </x:c>
      <x:c r="K10" s="7" t="str">
        <x:v>APIs de Xplore y modernización de Telecrédito documentan capacidad de integración. Respuesta relacionada, sin afirmar cumplimiento integral de fases BCRP ni medir interoperabilidad específica. Valoración 3 por acciones concretas y resultados o cobertura descritos. No se asigna 4 sin demostración comparativa más sólida.</x:v>
      </x:c>
      <x:c r="L10" s="7" t="str">
        <x:v>Valoración académica con respuesta reportada; sin benchmark estadístico sectorial</x:v>
      </x:c>
      <x:c r="M10" s="7" t="str">
        <x:v>3.2 / 3.3 PESTEL</x:v>
      </x:c>
      <x:c r="N10" s="7" t="n">
        <x:v>0.36</x:v>
      </x:c>
    </x:row>
    <x:row r="11" ht="119" customHeight="1">
      <x:c r="A11" s="4" t="str">
        <x:v>A1</x:v>
      </x:c>
      <x:c r="B11" s="4" t="str">
        <x:v>A</x:v>
      </x:c>
      <x:c r="C11" s="4" t="str">
        <x:v>Amenazas digitales y exigencia de controles</x:v>
      </x:c>
      <x:c r="D11" s="4" t="n">
        <x:v>0.18</x:v>
      </x:c>
      <x:c r="E11" s="4" t="n">
        <x:v>3</x:v>
      </x:c>
      <x:c r="F11" s="4" t="str">
        <x:v>PE-06</x:v>
      </x:c>
      <x:c r="G11" s="4" t="str">
        <x:v>EXT05</x:v>
      </x:c>
      <x:c r="H11" s="4" t="str">
        <x:v>EV06; EV03; EV14</x:v>
      </x:c>
      <x:c r="I11" s="4" t="str">
        <x:v>25 / 57 / 51</x:v>
      </x:c>
      <x:c r="J11" s="4" t="str">
        <x:v>Peso 0.18, juicio académico según alcance. A1/A3 priorizan confianza y obligaciones; O2/O4 relacionan demanda e integración; O3/A2 diferencian acceso y exclusión, sin duplicar población.</x:v>
      </x:c>
      <x:c r="K11" s="4" t="str">
        <x:v>Disminución de reclamos por fraude, programa y ejercicios: respuesta efectiva documentada con riesgo residual. Valoración 3 por acciones concretas y resultados o cobertura descritos. No se asigna 4 sin demostración comparativa más sólida.</x:v>
      </x:c>
      <x:c r="L11" s="4" t="str">
        <x:v>Valoración académica con respuesta reportada; sin benchmark estadístico sectorial</x:v>
      </x:c>
      <x:c r="M11" s="4" t="str">
        <x:v>3.2 / 3.3 PESTEL</x:v>
      </x:c>
      <x:c r="N11" s="4" t="n">
        <x:v>0.54</x:v>
      </x:c>
    </x:row>
    <x:row r="12" ht="134" customHeight="1">
      <x:c r="A12" s="7" t="str">
        <x:v>A4</x:v>
      </x:c>
      <x:c r="B12" s="7" t="str">
        <x:v>A</x:v>
      </x:c>
      <x:c r="C12" s="7" t="str">
        <x:v>Gestión de residuos de equipos de TI</x:v>
      </x:c>
      <x:c r="D12" s="7" t="n">
        <x:v>0.12</x:v>
      </x:c>
      <x:c r="E12" s="7" t="n">
        <x:v>3</x:v>
      </x:c>
      <x:c r="F12" s="7" t="str">
        <x:v>PE-07</x:v>
      </x:c>
      <x:c r="G12" s="7" t="str">
        <x:v>EXT06; EXT07</x:v>
      </x:c>
      <x:c r="H12" s="7" t="str">
        <x:v>EV10</x:v>
      </x:c>
      <x:c r="I12" s="7" t="str">
        <x:v>63</x:v>
      </x:c>
      <x:c r="J12" s="7" t="str">
        <x:v>Peso 0.12, juicio académico según alcance. A1/A3 priorizan confianza y obligaciones; O2/O4 relacionan demanda e integración; O3/A2 diferencian acceso y exclusión, sin duplicar población.</x:v>
      </x:c>
      <x:c r="K12" s="7" t="str">
        <x:v>Plan de gestión de residuos, iniciativas RAEE y renovación tecnológica: respuesta organizada; falta evidencia pública detallada de cada entrega. Valoración 3 por acciones concretas y resultados o cobertura descritos. No se asigna 4 sin demostración comparativa más sólida.</x:v>
      </x:c>
      <x:c r="L12" s="7" t="str">
        <x:v>Valoración académica con respuesta reportada; sin benchmark estadístico sectorial</x:v>
      </x:c>
      <x:c r="M12" s="7" t="str">
        <x:v>3.2 / 3.3 PESTEL</x:v>
      </x:c>
      <x:c r="N12" s="7" t="n">
        <x:v>0.36</x:v>
      </x:c>
    </x:row>
    <x:row r="13" ht="134" customHeight="1">
      <x:c r="A13" s="4" t="str">
        <x:v>A3</x:v>
      </x:c>
      <x:c r="B13" s="4" t="str">
        <x:v>A</x:v>
      </x:c>
      <x:c r="C13" s="4" t="str">
        <x:v>Protección de datos y atención de incidentes</x:v>
      </x:c>
      <x:c r="D13" s="4" t="n">
        <x:v>0.16</x:v>
      </x:c>
      <x:c r="E13" s="4" t="n">
        <x:v>3</x:v>
      </x:c>
      <x:c r="F13" s="4" t="str">
        <x:v>PE-08</x:v>
      </x:c>
      <x:c r="G13" s="4" t="str">
        <x:v>EXT08; EXT09</x:v>
      </x:c>
      <x:c r="H13" s="4" t="str">
        <x:v>EV09</x:v>
      </x:c>
      <x:c r="I13" s="4" t="str">
        <x:v>58</x:v>
      </x:c>
      <x:c r="J13" s="4" t="str">
        <x:v>Peso 0.16, juicio académico según alcance. A1/A3 priorizan confianza y obligaciones; O2/O4 relacionan demanda e integración; O3/A2 diferencian acceso y exclusión, sin duplicar población.</x:v>
      </x:c>
      <x:c r="K13" s="4" t="str">
        <x:v>Gestor de consentimiento, capacitación y programa de datos: respuesta concreta a exigencias de datos; no equivale a auditoría de cumplimiento. Valoración 3 por acciones concretas y resultados o cobertura descritos. No se asigna 4 sin demostración comparativa más sólida.</x:v>
      </x:c>
      <x:c r="L13" s="4" t="str">
        <x:v>Valoración académica con respuesta reportada; sin benchmark estadístico sectorial</x:v>
      </x:c>
      <x:c r="M13" s="4" t="str">
        <x:v>3.2 / 3.3 PESTEL</x:v>
      </x:c>
      <x:c r="N13" s="4" t="n">
        <x:v>0.48</x:v>
      </x:c>
    </x:row>
  </x:sheetData>
  <x:pageMargins left="0.7" right="0.7" top="0.75" bottom="0.75" header="0.3" footer="0.3"/>
</x:worksheet>
</file>