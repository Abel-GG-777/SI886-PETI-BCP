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30c9126cd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FI" sheetId="1" r:id="Rc83a783cc1d846bf"/>
    <x:sheet xmlns:r="http://schemas.openxmlformats.org/officeDocument/2006/relationships" name="EFE" sheetId="2" r:id="R13e23d1864774d74"/>
    <x:sheet xmlns:r="http://schemas.openxmlformats.org/officeDocument/2006/relationships" name="Fuentes" sheetId="3" r:id="R8c083502df024a62"/>
    <x:sheet xmlns:r="http://schemas.openxmlformats.org/officeDocument/2006/relationships" name="Evidencias BCP" sheetId="4" r:id="R3485e3644e12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4"/>
      <x:color rgb="FF082C83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82C83"/>
      </x:patternFill>
    </x:fill>
    <x:fill>
      <x:patternFill patternType="solid">
        <x:fgColor rgb="FFEEF3FB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4498db7a9945b9" /><Relationship Type="http://schemas.openxmlformats.org/officeDocument/2006/relationships/theme" Target="/xl/theme/theme1.xml" Id="R910cb9b43c6b4ef3" /><Relationship Type="http://schemas.openxmlformats.org/officeDocument/2006/relationships/sharedStrings" Target="/xl/sharedStrings.xml" Id="R1fba5326927e499e" /><Relationship Type="http://schemas.openxmlformats.org/officeDocument/2006/relationships/worksheet" Target="/xl/worksheets/sheet1.xml" Id="Rc83a783cc1d846bf" /><Relationship Type="http://schemas.openxmlformats.org/officeDocument/2006/relationships/worksheet" Target="/xl/worksheets/sheet2.xml" Id="R13e23d1864774d74" /><Relationship Type="http://schemas.openxmlformats.org/officeDocument/2006/relationships/worksheet" Target="/xl/worksheets/sheet3.xml" Id="R8c083502df024a62" /><Relationship Type="http://schemas.openxmlformats.org/officeDocument/2006/relationships/worksheet" Target="/xl/worksheets/sheet4.xml" Id="R3485e3644e1246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40" hidden="0" customWidth="1"/>
    <x:col min="4" max="4" width="13" hidden="0" customWidth="1"/>
    <x:col min="5" max="5" width="13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  <x:col min="14" max="14" width="13" hidden="0" customWidth="1"/>
  </x:cols>
  <x:sheetData>
    <x:row r="2">
      <x:c r="A2" s="1" t="str">
        <x:v>Anexo B | Matriz EFI</x:v>
      </x:c>
    </x:row>
    <x:row r="3">
      <x:c r="A3" t="str">
        <x:v>BCP Perú | ejercicio 2025 | valoración académica; consultar fuentes y límites</x:v>
      </x:c>
    </x:row>
    <x:row r="5" ht="42" customHeight="1">
      <x:c r="A5" s="6" t="str">
        <x:v>id</x:v>
      </x:c>
      <x:c r="B5" s="6" t="str">
        <x:v>tipo</x:v>
      </x:c>
      <x:c r="C5" s="6" t="str">
        <x:v>factor</x:v>
      </x:c>
      <x:c r="D5" s="6" t="str">
        <x:v>peso</x:v>
      </x:c>
      <x:c r="E5" s="6" t="str">
        <x:v>calificacion</x:v>
      </x:c>
      <x:c r="F5" s="6" t="str">
        <x:v>evidencia_id</x:v>
      </x:c>
      <x:c r="G5" s="6" t="str">
        <x:v>evidencia</x:v>
      </x:c>
      <x:c r="H5" s="6" t="str">
        <x:v>paginas</x:v>
      </x:c>
      <x:c r="I5" s="6" t="str">
        <x:v>fuente</x:v>
      </x:c>
      <x:c r="J5" s="6" t="str">
        <x:v>seccion_origen</x:v>
      </x:c>
      <x:c r="K5" s="6" t="str">
        <x:v>justificacion_peso</x:v>
      </x:c>
      <x:c r="L5" s="6" t="str">
        <x:v>justificacion_calificacion</x:v>
      </x:c>
      <x:c r="M5" s="6" t="str">
        <x:v>estado</x:v>
      </x:c>
      <x:c r="N5" s="6" t="str">
        <x:v>ponderado</x:v>
      </x:c>
    </x:row>
    <x:row r="6" ht="89" customHeight="1">
      <x:c r="A6" s="7" t="str">
        <x:v>F1</x:v>
      </x:c>
      <x:c r="B6" s="7" t="str">
        <x:v>F</x:v>
      </x:c>
      <x:c r="C6" s="7" t="str">
        <x:v>Escala y uso del ecosistema digital</x:v>
      </x:c>
      <x:c r="D6" s="8" t="n">
        <x:v>0.12</x:v>
      </x:c>
      <x:c r="E6" s="7" t="n">
        <x:v>4</x:v>
      </x:c>
      <x:c r="F6" s="7" t="str">
        <x:v>EV01; EV11</x:v>
      </x:c>
      <x:c r="G6" s="7" t="str">
        <x:v>Yape: 15,9 millones de usuarios activos mensuales y 66,49 transacciones mensuales promedio por usuario activo. / 89 % de transacciones monetarias en canales digitales en Banca Personas.</x:v>
      </x:c>
      <x:c r="H6" s="7" t="str">
        <x:v>17 / 14</x:v>
      </x:c>
      <x:c r="I6" s="7" t="str">
        <x:v>BCP25</x:v>
      </x:c>
      <x:c r="J6" s="7" t="str">
        <x:v>3.1 Diagnóstico interno</x:v>
      </x:c>
      <x:c r="K6" s="7" t="str">
        <x:v>Importancia relativa académica: 0.12. Se priorizan confianza y servicio en reclamos, fraude, seguridad y cobertura; no representa proporción del costo ni dato del banco.</x:v>
      </x:c>
      <x:c r="L6" s="7" t="str">
        <x:v>La escala de usuarios y adopción digital sustenta capacidad relevante para el negocio, no una ventaja VRIO sostenible.</x:v>
      </x:c>
      <x:c r="M6" s="7" t="str">
        <x:v>Fortaleza valorada</x:v>
      </x:c>
      <x:c r="N6" s="8" t="n">
        <x:f>D6*E6</x:f>
        <x:v>0.48</x:v>
      </x:c>
    </x:row>
    <x:row r="7" ht="89" customHeight="1">
      <x:c r="A7" s="4" t="str">
        <x:v>F2</x:v>
      </x:c>
      <x:c r="B7" s="4" t="str">
        <x:v>F</x:v>
      </x:c>
      <x:c r="C7" s="4" t="str">
        <x:v>Analítica con beneficios reportados</x:v>
      </x:c>
      <x:c r="D7" s="9" t="n">
        <x:v>0.1</x:v>
      </x:c>
      <x:c r="E7" s="4" t="n">
        <x:v>3</x:v>
      </x:c>
      <x:c r="F7" s="4" t="str">
        <x:v>EV02</x:v>
      </x:c>
      <x:c r="G7" s="4" t="str">
        <x:v>S/152,7 millones de valor mediante analítica avanzada; S/53,5 millones de beneficios con soluciones de datos.</x:v>
      </x:c>
      <x:c r="H7" s="4" t="str">
        <x:v>46</x:v>
      </x:c>
      <x:c r="I7" s="4" t="str">
        <x:v>BCP25</x:v>
      </x:c>
      <x:c r="J7" s="4" t="str">
        <x:v>3.1 Diagnóstico interno</x:v>
      </x:c>
      <x:c r="K7" s="4" t="str">
        <x:v>Importancia relativa académica: 0.10. Se priorizan confianza y servicio en reclamos, fraude, seguridad y cobertura; no representa proporción del costo ni dato del banco.</x:v>
      </x:c>
      <x:c r="L7" s="4" t="str">
        <x:v>Capacidad con beneficios cuantificados; valoración menor por ausencia de auditoría específica de atribución tecnológica.</x:v>
      </x:c>
      <x:c r="M7" s="4" t="str">
        <x:v>Fortaleza valorada</x:v>
      </x:c>
      <x:c r="N7" s="9" t="n">
        <x:f>D7*E7</x:f>
        <x:v>0.30000000000000004</x:v>
      </x:c>
    </x:row>
    <x:row r="8" ht="119" customHeight="1">
      <x:c r="A8" s="7" t="str">
        <x:v>F3</x:v>
      </x:c>
      <x:c r="B8" s="7" t="str">
        <x:v>F</x:v>
      </x:c>
      <x:c r="C8" s="7" t="str">
        <x:v>Gobierno y programa de ciberseguridad y continuidad</x:v>
      </x:c>
      <x:c r="D8" s="8" t="n">
        <x:v>0.12</x:v>
      </x:c>
      <x:c r="E8" s="7" t="n">
        <x:v>3</x:v>
      </x:c>
      <x:c r="F8" s="7" t="str">
        <x:v>EV03; EV14</x:v>
      </x:c>
      <x:c r="G8" s="7" t="str">
        <x:v>Programa de ciberseguridad, evaluaciones independientes y ausencia de incidentes significativos reportados en 2025. / Programa anual de continuidad, actualización y pruebas de planes, análisis de impacto y ejercicio de crisis con ciberseguridad y deepfakes.</x:v>
      </x:c>
      <x:c r="H8" s="7" t="str">
        <x:v>57 / 51</x:v>
      </x:c>
      <x:c r="I8" s="7" t="str">
        <x:v>BCP25</x:v>
      </x:c>
      <x:c r="J8" s="7" t="str">
        <x:v>3.1 Diagnóstico interno</x:v>
      </x:c>
      <x:c r="K8" s="7" t="str">
        <x:v>Importancia relativa académica: 0.12. Se priorizan confianza y servicio en reclamos, fraude, seguridad y cobertura; no representa proporción del costo ni dato del banco.</x:v>
      </x:c>
      <x:c r="L8" s="7" t="str">
        <x:v>Capacidad organizada, ejercicios y evaluaciones reportados; no se presupone inmunidad a ataques.</x:v>
      </x:c>
      <x:c r="M8" s="7" t="str">
        <x:v>Fortaleza valorada</x:v>
      </x:c>
      <x:c r="N8" s="8" t="n">
        <x:f>D8*E8</x:f>
        <x:v>0.36</x:v>
      </x:c>
    </x:row>
    <x:row r="9" ht="89" customHeight="1">
      <x:c r="A9" s="4" t="str">
        <x:v>F4</x:v>
      </x:c>
      <x:c r="B9" s="4" t="str">
        <x:v>F</x:v>
      </x:c>
      <x:c r="C9" s="4" t="str">
        <x:v>Entrega tecnológica ágil con mejoras medibles</x:v>
      </x:c>
      <x:c r="D9" s="9" t="n">
        <x:v>0.1</x:v>
      </x:c>
      <x:c r="E9" s="4" t="n">
        <x:v>3</x:v>
      </x:c>
      <x:c r="F9" s="4" t="str">
        <x:v>EV04</x:v>
      </x:c>
      <x:c r="G9" s="4" t="str">
        <x:v>Time to market reducido 21 %; 29 días en 70 % de casos; costo de producción tecnológica reducido 12 %.</x:v>
      </x:c>
      <x:c r="H9" s="4" t="str">
        <x:v>45</x:v>
      </x:c>
      <x:c r="I9" s="4" t="str">
        <x:v>BCP25</x:v>
      </x:c>
      <x:c r="J9" s="4" t="str">
        <x:v>3.1 Diagnóstico interno</x:v>
      </x:c>
      <x:c r="K9" s="4" t="str">
        <x:v>Importancia relativa académica: 0.10. Se priorizan confianza y servicio en reclamos, fraude, seguridad y cobertura; no representa proporción del costo ni dato del banco.</x:v>
      </x:c>
      <x:c r="L9" s="4" t="str">
        <x:v>Mejora de tiempos y costos interanual; no se afirma liderazgo sectorial por falta de comparación.</x:v>
      </x:c>
      <x:c r="M9" s="4" t="str">
        <x:v>Fortaleza valorada</x:v>
      </x:c>
      <x:c r="N9" s="9" t="n">
        <x:f>D9*E9</x:f>
        <x:v>0.30000000000000004</x:v>
      </x:c>
    </x:row>
    <x:row r="10" ht="89" customHeight="1">
      <x:c r="A10" s="7" t="str">
        <x:v>D1</x:v>
      </x:c>
      <x:c r="B10" s="7" t="str">
        <x:v>D</x:v>
      </x:c>
      <x:c r="C10" s="7" t="str">
        <x:v>Atención de reclamos aún no totalmente resuelta en 48 horas</x:v>
      </x:c>
      <x:c r="D10" s="8" t="n">
        <x:v>0.18</x:v>
      </x:c>
      <x:c r="E10" s="7" t="n">
        <x:v>2</x:v>
      </x:c>
      <x:c r="F10" s="7" t="str">
        <x:v>EV05</x:v>
      </x:c>
      <x:c r="G10" s="7" t="str">
        <x:v>67 % de reclamos atendidos en 48 horas.</x:v>
      </x:c>
      <x:c r="H10" s="7" t="str">
        <x:v>24</x:v>
      </x:c>
      <x:c r="I10" s="7" t="str">
        <x:v>BCP25</x:v>
      </x:c>
      <x:c r="J10" s="7" t="str">
        <x:v>3.1 Diagnóstico interno</x:v>
      </x:c>
      <x:c r="K10" s="7" t="str">
        <x:v>Importancia relativa académica: 0.18. Se priorizan confianza y servicio en reclamos, fraude, seguridad y cobertura; no representa proporción del costo ni dato del banco.</x:v>
      </x:c>
      <x:c r="L10" s="7" t="str">
        <x:v>Brecha de mejora inferida: 33 % excede 48 horas. No constituye un incumplimiento legal ni comparación negativa sectorial.</x:v>
      </x:c>
      <x:c r="M10" s="7" t="str">
        <x:v>Brecha candidata inferida, no fallo declarado por BCP</x:v>
      </x:c>
      <x:c r="N10" s="8" t="n">
        <x:f>D10*E10</x:f>
        <x:v>0.36</x:v>
      </x:c>
    </x:row>
    <x:row r="11" ht="89" customHeight="1">
      <x:c r="A11" s="4" t="str">
        <x:v>D2</x:v>
      </x:c>
      <x:c r="B11" s="4" t="str">
        <x:v>D</x:v>
      </x:c>
      <x:c r="C11" s="4" t="str">
        <x:v>Persistencia de reclamos por fraude digital</x:v>
      </x:c>
      <x:c r="D11" s="9" t="n">
        <x:v>0.14</x:v>
      </x:c>
      <x:c r="E11" s="4" t="n">
        <x:v>2</x:v>
      </x:c>
      <x:c r="F11" s="4" t="str">
        <x:v>EV06</x:v>
      </x:c>
      <x:c r="G11" s="4" t="str">
        <x:v>Reclamos por fraude digital: 48 a 33 por cada 10 000 clientes entre 2024 y 2025.</x:v>
      </x:c>
      <x:c r="H11" s="4" t="str">
        <x:v>25</x:v>
      </x:c>
      <x:c r="I11" s="4" t="str">
        <x:v>BCP25</x:v>
      </x:c>
      <x:c r="J11" s="4" t="str">
        <x:v>3.1 Diagnóstico interno</x:v>
      </x:c>
      <x:c r="K11" s="4" t="str">
        <x:v>Importancia relativa académica: 0.14. Se priorizan confianza y servicio en reclamos, fraude, seguridad y cobertura; no representa proporción del costo ni dato del banco.</x:v>
      </x:c>
      <x:c r="L11" s="4" t="str">
        <x:v>Riesgo residual con 33 reclamos por 10 000 clientes, pese a mejora. Debilidad candidata de eficacia residual; no ausencia de controles.</x:v>
      </x:c>
      <x:c r="M11" s="4" t="str">
        <x:v>Brecha candidata inferida, no fallo declarado por BCP</x:v>
      </x:c>
      <x:c r="N11" s="9" t="n">
        <x:f>D11*E11</x:f>
        <x:v>0.28</x:v>
      </x:c>
    </x:row>
    <x:row r="12" ht="89" customHeight="1">
      <x:c r="A12" s="7" t="str">
        <x:v>D3</x:v>
      </x:c>
      <x:c r="B12" s="7" t="str">
        <x:v>D</x:v>
      </x:c>
      <x:c r="C12" s="7" t="str">
        <x:v>Accesibilidad digital en extensión progresiva</x:v>
      </x:c>
      <x:c r="D12" s="8" t="n">
        <x:v>0.12</x:v>
      </x:c>
      <x:c r="E12" s="7" t="n">
        <x:v>2</x:v>
      </x:c>
      <x:c r="F12" s="7" t="str">
        <x:v>EV07</x:v>
      </x:c>
      <x:c r="G12" s="7" t="str">
        <x:v>Cinco funcionalidades básicas de Yape compatibles con lectores de pantalla y primera versión accesible de Banca Móvil Android; hoja de ruta progresiva.</x:v>
      </x:c>
      <x:c r="H12" s="7" t="str">
        <x:v>25</x:v>
      </x:c>
      <x:c r="I12" s="7" t="str">
        <x:v>BCP25</x:v>
      </x:c>
      <x:c r="J12" s="7" t="str">
        <x:v>3.1 Diagnóstico interno</x:v>
      </x:c>
      <x:c r="K12" s="7" t="str">
        <x:v>Importancia relativa académica: 0.12. Se priorizan confianza y servicio en reclamos, fraude, seguridad y cobertura; no representa proporción del costo ni dato del banco.</x:v>
      </x:c>
      <x:c r="L12" s="7" t="str">
        <x:v>Cobertura focalizada y hoja de ruta en evolución. Brecha candidata de cobertura, sin afirmar que otros flujos sean inaccesibles.</x:v>
      </x:c>
      <x:c r="M12" s="7" t="str">
        <x:v>Brecha candidata inferida, no fallo declarado por BCP</x:v>
      </x:c>
      <x:c r="N12" s="8" t="n">
        <x:f>D12*E12</x:f>
        <x:v>0.24</x:v>
      </x:c>
    </x:row>
    <x:row r="13" ht="134" customHeight="1">
      <x:c r="A13" s="4" t="str">
        <x:v>D4</x:v>
      </x:c>
      <x:c r="B13" s="4" t="str">
        <x:v>D</x:v>
      </x:c>
      <x:c r="C13" s="4" t="str">
        <x:v>Marco específico de riesgo de IA generativa en desarrollo</x:v>
      </x:c>
      <x:c r="D13" s="9" t="n">
        <x:v>0.12</x:v>
      </x:c>
      <x:c r="E13" s="4" t="n">
        <x:v>2</x:v>
      </x:c>
      <x:c r="F13" s="4" t="str">
        <x:v>EV08; EV09</x:v>
      </x:c>
      <x:c r="G13" s="4" t="str">
        <x:v>Comenzó el desarrollo de un marco de riesgos específicos de IA generativa, como opacidad y ética. / Política de IA responsable; programa de protección de datos, gestor y autogestión de consentimiento, formación y tres años sin filtraciones, robos o pérdidas reportados.</x:v>
      </x:c>
      <x:c r="H13" s="4" t="str">
        <x:v>51 / 58</x:v>
      </x:c>
      <x:c r="I13" s="4" t="str">
        <x:v>BCP25</x:v>
      </x:c>
      <x:c r="J13" s="4" t="str">
        <x:v>3.1 Diagnóstico interno</x:v>
      </x:c>
      <x:c r="K13" s="4" t="str">
        <x:v>Importancia relativa académica: 0.12. Se priorizan confianza y servicio en reclamos, fraude, seguridad y cobertura; no representa proporción del costo ni dato del banco.</x:v>
      </x:c>
      <x:c r="L13" s="4" t="str">
        <x:v>Marco específico comenzó a desarrollarse a cierre 2025. Brecha de madurez candidata; existe política de IA responsable y no se desconoce su gobierno.</x:v>
      </x:c>
      <x:c r="M13" s="4" t="str">
        <x:v>Brecha candidata inferida, no fallo declarado por BCP</x:v>
      </x:c>
      <x:c r="N13" s="9" t="n">
        <x:f>D13*E13</x:f>
        <x:v>0.24</x:v>
      </x:c>
    </x:row>
    <x:row r="14">
      <x:c r="A14" s="11" t="str">
        <x:v>TOTAL</x:v>
      </x:c>
      <x:c r="B14" s="11"/>
      <x:c r="C14" s="11"/>
      <x:c r="D14" s="12" t="n">
        <x:f>SUM(D6:D13)</x:f>
        <x:v>0.9999999999999999</x:v>
      </x:c>
      <x:c r="E14" s="11"/>
      <x:c r="F14" s="11"/>
      <x:c r="G14" s="11"/>
      <x:c r="H14" s="11"/>
      <x:c r="I14" s="11"/>
      <x:c r="J14" s="11"/>
      <x:c r="K14" s="11"/>
      <x:c r="L14" s="11"/>
      <x:c r="M14" s="11"/>
      <x:c r="N14" s="12" t="n">
        <x:f>SUM(N6:N13)</x:f>
        <x:v>2.5600000000000005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40" hidden="0" customWidth="1"/>
    <x:col min="4" max="4" width="13" hidden="0" customWidth="1"/>
    <x:col min="5" max="5" width="13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  <x:col min="14" max="14" width="13" hidden="0" customWidth="1"/>
  </x:cols>
  <x:sheetData>
    <x:row r="2">
      <x:c r="A2" s="1" t="str">
        <x:v>Anexo B | Matriz EFE</x:v>
      </x:c>
    </x:row>
    <x:row r="3">
      <x:c r="A3" t="str">
        <x:v>BCP Perú | ejercicio 2025 | valoración académica; consultar fuentes y límites</x:v>
      </x:c>
    </x:row>
    <x:row r="5" ht="42" customHeight="1">
      <x:c r="A5" s="6" t="str">
        <x:v>id</x:v>
      </x:c>
      <x:c r="B5" s="6" t="str">
        <x:v>tipo</x:v>
      </x:c>
      <x:c r="C5" s="6" t="str">
        <x:v>factor</x:v>
      </x:c>
      <x:c r="D5" s="6" t="str">
        <x:v>peso</x:v>
      </x:c>
      <x:c r="E5" s="6" t="str">
        <x:v>calificacion</x:v>
      </x:c>
      <x:c r="F5" s="6" t="str">
        <x:v>pestel_id</x:v>
      </x:c>
      <x:c r="G5" s="6" t="str">
        <x:v>fuentes_entorno</x:v>
      </x:c>
      <x:c r="H5" s="6" t="str">
        <x:v>evidencia_respuesta</x:v>
      </x:c>
      <x:c r="I5" s="6" t="str">
        <x:v>paginas_respuesta</x:v>
      </x:c>
      <x:c r="J5" s="6" t="str">
        <x:v>justificacion_peso</x:v>
      </x:c>
      <x:c r="K5" s="6" t="str">
        <x:v>justificacion_calificacion</x:v>
      </x:c>
      <x:c r="L5" s="6" t="str">
        <x:v>estado_calificacion</x:v>
      </x:c>
      <x:c r="M5" s="6" t="str">
        <x:v>seccion_origen</x:v>
      </x:c>
      <x:c r="N5" s="6" t="str">
        <x:v>ponderado</x:v>
      </x:c>
    </x:row>
    <x:row r="6" ht="119" customHeight="1">
      <x:c r="A6" s="7" t="str">
        <x:v>O1</x:v>
      </x:c>
      <x:c r="B6" s="7" t="str">
        <x:v>O</x:v>
      </x:c>
      <x:c r="C6" s="7" t="str">
        <x:v>Impulso nacional a transformación e inclusión digital</x:v>
      </x:c>
      <x:c r="D6" s="8" t="n">
        <x:v>0.08</x:v>
      </x:c>
      <x:c r="E6" s="7" t="n">
        <x:v>3</x:v>
      </x:c>
      <x:c r="F6" s="7" t="str">
        <x:v>PE-01</x:v>
      </x:c>
      <x:c r="G6" s="7" t="str">
        <x:v>EXT01</x:v>
      </x:c>
      <x:c r="H6" s="7" t="str">
        <x:v>EV13</x:v>
      </x:c>
      <x:c r="I6" s="7" t="str">
        <x:v>29</x:v>
      </x:c>
      <x:c r="J6" s="7" t="str">
        <x:v>Peso 0.08, juicio académico según alcance. A1/A3 priorizan confianza y obligaciones; O2/O4 relacionan demanda e integración; O3/A2 diferencian acceso y exclusión, sin duplicar población.</x:v>
      </x:c>
      <x:c r="K6" s="7" t="str">
        <x:v>Inclusión acumulada de 6,6 millones de personas: respuesta pertinente y ejecutada al impulso digital nacional. Valoración 3 por acciones concretas y resultados o cobertura descritos. No se asigna 4 sin demostración comparativa más sólida.</x:v>
      </x:c>
      <x:c r="L6" s="7" t="str">
        <x:v>Valoración académica con respuesta reportada; sin benchmark estadístico sectorial</x:v>
      </x:c>
      <x:c r="M6" s="7" t="str">
        <x:v>3.2 / 3.3 PESTEL</x:v>
      </x:c>
      <x:c r="N6" s="8" t="n">
        <x:f>D6*E6</x:f>
        <x:v>0.24</x:v>
      </x:c>
    </x:row>
    <x:row r="7" ht="119" customHeight="1">
      <x:c r="A7" s="4" t="str">
        <x:v>O2</x:v>
      </x:c>
      <x:c r="B7" s="4" t="str">
        <x:v>O</x:v>
      </x:c>
      <x:c r="C7" s="4" t="str">
        <x:v>Expansión de la demanda de pagos digitales</x:v>
      </x:c>
      <x:c r="D7" s="9" t="n">
        <x:v>0.12</x:v>
      </x:c>
      <x:c r="E7" s="4" t="n">
        <x:v>3</x:v>
      </x:c>
      <x:c r="F7" s="4" t="str">
        <x:v>PE-02</x:v>
      </x:c>
      <x:c r="G7" s="4" t="str">
        <x:v>EXT02</x:v>
      </x:c>
      <x:c r="H7" s="4" t="str">
        <x:v>EV01; EV11</x:v>
      </x:c>
      <x:c r="I7" s="4" t="str">
        <x:v>17 / 14</x:v>
      </x:c>
      <x:c r="J7" s="4" t="str">
        <x:v>Peso 0.12, juicio académico según alcance. A1/A3 priorizan confianza y obligaciones; O2/O4 relacionan demanda e integración; O3/A2 diferencian acceso y exclusión, sin duplicar población.</x:v>
      </x:c>
      <x:c r="K7" s="4" t="str">
        <x:v>Uso masivo de Yape y 89 % digital en transacciones monetarias de Banca Personas: capacidad efectiva frente a demanda de pagos. Valoración 3 por acciones concretas y resultados o cobertura descritos. No se asigna 4 sin demostración comparativa más sólida.</x:v>
      </x:c>
      <x:c r="L7" s="4" t="str">
        <x:v>Valoración académica con respuesta reportada; sin benchmark estadístico sectorial</x:v>
      </x:c>
      <x:c r="M7" s="4" t="str">
        <x:v>3.2 / 3.3 PESTEL</x:v>
      </x:c>
      <x:c r="N7" s="9" t="n">
        <x:f>D7*E7</x:f>
        <x:v>0.36</x:v>
      </x:c>
    </x:row>
    <x:row r="8" ht="119" customHeight="1">
      <x:c r="A8" s="7" t="str">
        <x:v>O3</x:v>
      </x:c>
      <x:c r="B8" s="7" t="str">
        <x:v>O</x:v>
      </x:c>
      <x:c r="C8" s="7" t="str">
        <x:v>Ampliación del acceso a internet</x:v>
      </x:c>
      <x:c r="D8" s="8" t="n">
        <x:v>0.12</x:v>
      </x:c>
      <x:c r="E8" s="7" t="n">
        <x:v>3</x:v>
      </x:c>
      <x:c r="F8" s="7" t="str">
        <x:v>PE-03</x:v>
      </x:c>
      <x:c r="G8" s="7" t="str">
        <x:v>EXT03</x:v>
      </x:c>
      <x:c r="H8" s="7" t="str">
        <x:v>EV07</x:v>
      </x:c>
      <x:c r="I8" s="7" t="str">
        <x:v>25</x:v>
      </x:c>
      <x:c r="J8" s="7" t="str">
        <x:v>Peso 0.12, juicio académico según alcance. A1/A3 priorizan confianza y obligaciones; O2/O4 relacionan demanda e integración; O3/A2 diferencian acceso y exclusión, sin duplicar población.</x:v>
      </x:c>
      <x:c r="K8" s="7" t="str">
        <x:v>Funciones accesibles y Banca Móvil Android adaptada: respuesta operativa al acceso digital; no se afirma cobertura total. Valoración 3 por acciones concretas y resultados o cobertura descritos. No se asigna 4 sin demostración comparativa más sólida.</x:v>
      </x:c>
      <x:c r="L8" s="7" t="str">
        <x:v>Valoración académica con respuesta reportada; sin benchmark estadístico sectorial</x:v>
      </x:c>
      <x:c r="M8" s="7" t="str">
        <x:v>3.2 / 3.3 PESTEL</x:v>
      </x:c>
      <x:c r="N8" s="8" t="n">
        <x:f>D8*E8</x:f>
        <x:v>0.36</x:v>
      </x:c>
    </x:row>
    <x:row r="9" ht="134" customHeight="1">
      <x:c r="A9" s="4" t="str">
        <x:v>A2</x:v>
      </x:c>
      <x:c r="B9" s="4" t="str">
        <x:v>A</x:v>
      </x:c>
      <x:c r="C9" s="4" t="str">
        <x:v>Desigualdad de conectividad</x:v>
      </x:c>
      <x:c r="D9" s="9" t="n">
        <x:v>0.1</x:v>
      </x:c>
      <x:c r="E9" s="4" t="n">
        <x:v>3</x:v>
      </x:c>
      <x:c r="F9" s="4" t="str">
        <x:v>PE-04</x:v>
      </x:c>
      <x:c r="G9" s="4" t="str">
        <x:v>EXT03</x:v>
      </x:c>
      <x:c r="H9" s="4" t="str">
        <x:v>EV06; EV07</x:v>
      </x:c>
      <x:c r="I9" s="4" t="str">
        <x:v>25 / 25</x:v>
      </x:c>
      <x:c r="J9" s="4" t="str">
        <x:v>Peso 0.10, juicio académico según alcance. A1/A3 priorizan confianza y obligaciones; O2/O4 relacionan demanda e integración; O3/A2 diferencian acceso y exclusión, sin duplicar población.</x:v>
      </x:c>
      <x:c r="K9" s="4" t="str">
        <x:v>Bloqueo de emergencia mediante 10,3 mil agentes incluso sin dispositivo móvil y accesibilidad: mitigación asistida documentada, sin afirmar eliminación de brecha rural. Valoración 3 por acciones concretas y resultados o cobertura descritos. No se asigna 4 sin demostración comparativa más sólida.</x:v>
      </x:c>
      <x:c r="L9" s="4" t="str">
        <x:v>Valoración académica con respuesta reportada; sin benchmark estadístico sectorial</x:v>
      </x:c>
      <x:c r="M9" s="4" t="str">
        <x:v>3.2 / 3.3 PESTEL</x:v>
      </x:c>
      <x:c r="N9" s="9" t="n">
        <x:f>D9*E9</x:f>
        <x:v>0.30000000000000004</x:v>
      </x:c>
    </x:row>
    <x:row r="10" ht="149" customHeight="1">
      <x:c r="A10" s="7" t="str">
        <x:v>O4</x:v>
      </x:c>
      <x:c r="B10" s="7" t="str">
        <x:v>O</x:v>
      </x:c>
      <x:c r="C10" s="7" t="str">
        <x:v>Interoperabilidad y apertura del ecosistema de pagos</x:v>
      </x:c>
      <x:c r="D10" s="8" t="n">
        <x:v>0.12</x:v>
      </x:c>
      <x:c r="E10" s="7" t="n">
        <x:v>3</x:v>
      </x:c>
      <x:c r="F10" s="7" t="str">
        <x:v>PE-05</x:v>
      </x:c>
      <x:c r="G10" s="7" t="str">
        <x:v>EXT04</x:v>
      </x:c>
      <x:c r="H10" s="7" t="str">
        <x:v>EV12</x:v>
      </x:c>
      <x:c r="I10" s="7" t="str">
        <x:v>16</x:v>
      </x:c>
      <x:c r="J10" s="7" t="str">
        <x:v>Peso 0.12, juicio académico según alcance. A1/A3 priorizan confianza y obligaciones; O2/O4 relacionan demanda e integración; O3/A2 diferencian acceso y exclusión, sin duplicar población.</x:v>
      </x:c>
      <x:c r="K10" s="7" t="str">
        <x:v>APIs de Xplore y modernización de Telecrédito documentan capacidad de integración. Respuesta relacionada, sin afirmar cumplimiento integral de fases BCRP ni medir interoperabilidad específica. Valoración 3 por acciones concretas y resultados o cobertura descritos. No se asigna 4 sin demostración comparativa más sólida.</x:v>
      </x:c>
      <x:c r="L10" s="7" t="str">
        <x:v>Valoración académica con respuesta reportada; sin benchmark estadístico sectorial</x:v>
      </x:c>
      <x:c r="M10" s="7" t="str">
        <x:v>3.2 / 3.3 PESTEL</x:v>
      </x:c>
      <x:c r="N10" s="8" t="n">
        <x:f>D10*E10</x:f>
        <x:v>0.36</x:v>
      </x:c>
    </x:row>
    <x:row r="11" ht="119" customHeight="1">
      <x:c r="A11" s="4" t="str">
        <x:v>A1</x:v>
      </x:c>
      <x:c r="B11" s="4" t="str">
        <x:v>A</x:v>
      </x:c>
      <x:c r="C11" s="4" t="str">
        <x:v>Amenazas digitales y exigencia de controles</x:v>
      </x:c>
      <x:c r="D11" s="9" t="n">
        <x:v>0.18</x:v>
      </x:c>
      <x:c r="E11" s="4" t="n">
        <x:v>3</x:v>
      </x:c>
      <x:c r="F11" s="4" t="str">
        <x:v>PE-06</x:v>
      </x:c>
      <x:c r="G11" s="4" t="str">
        <x:v>EXT05</x:v>
      </x:c>
      <x:c r="H11" s="4" t="str">
        <x:v>EV06; EV03; EV14</x:v>
      </x:c>
      <x:c r="I11" s="4" t="str">
        <x:v>25 / 57 / 51</x:v>
      </x:c>
      <x:c r="J11" s="4" t="str">
        <x:v>Peso 0.18, juicio académico según alcance. A1/A3 priorizan confianza y obligaciones; O2/O4 relacionan demanda e integración; O3/A2 diferencian acceso y exclusión, sin duplicar población.</x:v>
      </x:c>
      <x:c r="K11" s="4" t="str">
        <x:v>Disminución de reclamos por fraude, programa y ejercicios: respuesta efectiva documentada con riesgo residual. Valoración 3 por acciones concretas y resultados o cobertura descritos. No se asigna 4 sin demostración comparativa más sólida.</x:v>
      </x:c>
      <x:c r="L11" s="4" t="str">
        <x:v>Valoración académica con respuesta reportada; sin benchmark estadístico sectorial</x:v>
      </x:c>
      <x:c r="M11" s="4" t="str">
        <x:v>3.2 / 3.3 PESTEL</x:v>
      </x:c>
      <x:c r="N11" s="9" t="n">
        <x:f>D11*E11</x:f>
        <x:v>0.54</x:v>
      </x:c>
    </x:row>
    <x:row r="12" ht="134" customHeight="1">
      <x:c r="A12" s="7" t="str">
        <x:v>A4</x:v>
      </x:c>
      <x:c r="B12" s="7" t="str">
        <x:v>A</x:v>
      </x:c>
      <x:c r="C12" s="7" t="str">
        <x:v>Gestión de residuos de equipos de TI</x:v>
      </x:c>
      <x:c r="D12" s="8" t="n">
        <x:v>0.12</x:v>
      </x:c>
      <x:c r="E12" s="7" t="n">
        <x:v>3</x:v>
      </x:c>
      <x:c r="F12" s="7" t="str">
        <x:v>PE-07</x:v>
      </x:c>
      <x:c r="G12" s="7" t="str">
        <x:v>EXT06; EXT07</x:v>
      </x:c>
      <x:c r="H12" s="7" t="str">
        <x:v>EV10</x:v>
      </x:c>
      <x:c r="I12" s="7" t="str">
        <x:v>63</x:v>
      </x:c>
      <x:c r="J12" s="7" t="str">
        <x:v>Peso 0.12, juicio académico según alcance. A1/A3 priorizan confianza y obligaciones; O2/O4 relacionan demanda e integración; O3/A2 diferencian acceso y exclusión, sin duplicar población.</x:v>
      </x:c>
      <x:c r="K12" s="7" t="str">
        <x:v>Plan de gestión de residuos, iniciativas RAEE y renovación tecnológica: respuesta organizada; falta evidencia pública detallada de cada entrega. Valoración 3 por acciones concretas y resultados o cobertura descritos. No se asigna 4 sin demostración comparativa más sólida.</x:v>
      </x:c>
      <x:c r="L12" s="7" t="str">
        <x:v>Valoración académica con respuesta reportada; sin benchmark estadístico sectorial</x:v>
      </x:c>
      <x:c r="M12" s="7" t="str">
        <x:v>3.2 / 3.3 PESTEL</x:v>
      </x:c>
      <x:c r="N12" s="8" t="n">
        <x:f>D12*E12</x:f>
        <x:v>0.36</x:v>
      </x:c>
    </x:row>
    <x:row r="13" ht="134" customHeight="1">
      <x:c r="A13" s="4" t="str">
        <x:v>A3</x:v>
      </x:c>
      <x:c r="B13" s="4" t="str">
        <x:v>A</x:v>
      </x:c>
      <x:c r="C13" s="4" t="str">
        <x:v>Protección de datos y atención de incidentes</x:v>
      </x:c>
      <x:c r="D13" s="9" t="n">
        <x:v>0.16</x:v>
      </x:c>
      <x:c r="E13" s="4" t="n">
        <x:v>3</x:v>
      </x:c>
      <x:c r="F13" s="4" t="str">
        <x:v>PE-08</x:v>
      </x:c>
      <x:c r="G13" s="4" t="str">
        <x:v>EXT08; EXT09</x:v>
      </x:c>
      <x:c r="H13" s="4" t="str">
        <x:v>EV09</x:v>
      </x:c>
      <x:c r="I13" s="4" t="str">
        <x:v>58</x:v>
      </x:c>
      <x:c r="J13" s="4" t="str">
        <x:v>Peso 0.16, juicio académico según alcance. A1/A3 priorizan confianza y obligaciones; O2/O4 relacionan demanda e integración; O3/A2 diferencian acceso y exclusión, sin duplicar población.</x:v>
      </x:c>
      <x:c r="K13" s="4" t="str">
        <x:v>Gestor de consentimiento, capacitación y programa de datos: respuesta concreta a exigencias de datos; no equivale a auditoría de cumplimiento. Valoración 3 por acciones concretas y resultados o cobertura descritos. No se asigna 4 sin demostración comparativa más sólida.</x:v>
      </x:c>
      <x:c r="L13" s="4" t="str">
        <x:v>Valoración académica con respuesta reportada; sin benchmark estadístico sectorial</x:v>
      </x:c>
      <x:c r="M13" s="4" t="str">
        <x:v>3.2 / 3.3 PESTEL</x:v>
      </x:c>
      <x:c r="N13" s="9" t="n">
        <x:f>D13*E13</x:f>
        <x:v>0.48</x:v>
      </x:c>
    </x:row>
    <x:row r="14">
      <x:c r="A14" s="11" t="str">
        <x:v>TOTAL</x:v>
      </x:c>
      <x:c r="B14" s="11"/>
      <x:c r="C14" s="11"/>
      <x:c r="D14" s="12" t="n">
        <x:f>SUM(D6:D13)</x:f>
        <x:v>1</x:v>
      </x:c>
      <x:c r="E14" s="11"/>
      <x:c r="F14" s="11"/>
      <x:c r="G14" s="11"/>
      <x:c r="H14" s="11"/>
      <x:c r="I14" s="11"/>
      <x:c r="J14" s="11"/>
      <x:c r="K14" s="11"/>
      <x:c r="L14" s="11"/>
      <x:c r="M14" s="11"/>
      <x:c r="N14" s="12" t="n">
        <x:f>SUM(N6:N13)</x:f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40" hidden="0" customWidth="1"/>
    <x:col min="3" max="3" width="40" hidden="0" customWidth="1"/>
    <x:col min="4" max="4" width="40" hidden="0" customWidth="1"/>
    <x:col min="5" max="5" width="45" hidden="0" customWidth="1"/>
    <x:col min="6" max="6" width="40" hidden="0" customWidth="1"/>
  </x:cols>
  <x:sheetData>
    <x:row r="2">
      <x:c r="A2" s="1" t="str">
        <x:v>Fuentes oficiales y alcance</x:v>
      </x:c>
    </x:row>
    <x:row r="3">
      <x:c r="A3" t="str">
        <x:v>BCP Perú | ejercicio 2025 | valoración académica; consultar fuentes y límites</x:v>
      </x:c>
    </x:row>
    <x:row r="5" ht="42" customHeight="1">
      <x:c r="A5" s="6" t="str">
        <x:v>id</x:v>
      </x:c>
      <x:c r="B5" s="6" t="str">
        <x:v>institucion</x:v>
      </x:c>
      <x:c r="C5" s="6" t="str">
        <x:v>publicacion</x:v>
      </x:c>
      <x:c r="D5" s="6" t="str">
        <x:v>anio</x:v>
      </x:c>
      <x:c r="E5" s="6" t="str">
        <x:v>url</x:v>
      </x:c>
      <x:c r="F5" s="6" t="str">
        <x:v>alcance</x:v>
      </x:c>
    </x:row>
    <x:row r="6" ht="65" customHeight="1">
      <x:c r="A6" s="7" t="str">
        <x:v>BCP25</x:v>
      </x:c>
      <x:c r="B6" s="7" t="str">
        <x:v>Banco de Crédito del Perú</x:v>
      </x:c>
      <x:c r="C6" s="7" t="str">
        <x:v>Memoria Integrada 2025, versión ViaBCP de 136 páginas</x:v>
      </x:c>
      <x:c r="D6" s="7" t="str">
        <x:v>2026</x:v>
      </x:c>
      <x:c r="E6" s="7" t="str">
        <x:v>https://www.viabcp.com/memoria-integrada</x:v>
      </x:c>
      <x:c r="F6" s="7" t="str">
        <x:v>Ejercicio 2025. Paginación del PDF aportado; p. 5 declara alcance BCP Perú. Datos autorreportados.</x:v>
      </x:c>
    </x:row>
    <x:row r="7" ht="65" customHeight="1">
      <x:c r="A7" s="4" t="str">
        <x:v>EXT01</x:v>
      </x:c>
      <x:c r="B7" s="4" t="str">
        <x:v>PCM</x:v>
      </x:c>
      <x:c r="C7" s="4" t="str">
        <x:v>Política Nacional de Transformación Digital al 2030; D. S. 085-2023-PCM</x:v>
      </x:c>
      <x:c r="D7" s="4" t="str">
        <x:v>2023</x:v>
      </x:c>
      <x:c r="E7" s="4" t="str">
        <x:v>https://busquedas.elperuano.pe/dispositivo/NL/2200457-5</x:v>
      </x:c>
      <x:c r="F7" s="4" t="str">
        <x:v>Marco nacional; sector privado en cuanto resulte aplicable. No se impone régimen público al banco.</x:v>
      </x:c>
    </x:row>
    <x:row r="8" ht="65" customHeight="1">
      <x:c r="A8" s="7" t="str">
        <x:v>EXT02</x:v>
      </x:c>
      <x:c r="B8" s="7" t="str">
        <x:v>BCRP</x:v>
      </x:c>
      <x:c r="C8" s="7" t="str">
        <x:v>Reporte del Sistema Nacional de Pagos y del Sector FINTECH, septiembre 2025</x:v>
      </x:c>
      <x:c r="D8" s="7" t="str">
        <x:v>2025</x:v>
      </x:c>
      <x:c r="E8" s="7" t="str">
        <x:v>https://www.bcrp.gob.pe/docs/Publicaciones/reporte-del-sistema-nacional-de-pagos/2025/setiembre/rspf-setiembre-2025.pdf</x:v>
      </x:c>
      <x:c r="F8" s="7" t="str">
        <x:v>591 pagos por adulto: dato anualizado al primer semestre 2025, no promedio mensual.</x:v>
      </x:c>
    </x:row>
    <x:row r="9" ht="65" customHeight="1">
      <x:c r="A9" s="4" t="str">
        <x:v>EXT03</x:v>
      </x:c>
      <x:c r="B9" s="4" t="str">
        <x:v>INEI</x:v>
      </x:c>
      <x:c r="C9" s="4" t="str">
        <x:v>El 60,1 % de los hogares tiene conexión a Internet, 29 septiembre 2025</x:v>
      </x:c>
      <x:c r="D9" s="4" t="str">
        <x:v>2025</x:v>
      </x:c>
      <x:c r="E9" s="4" t="str">
        <x:v>https://www.gob.pe/institucion/inei/noticias/1254582-el-60-1-de-los-hogares-tiene-conexion-a-internet</x:v>
      </x:c>
      <x:c r="F9" s="4" t="str">
        <x:v>ENAHO II trimestre 2025. Hogares del país, no usuarios del BCP.</x:v>
      </x:c>
    </x:row>
    <x:row r="10" ht="74" customHeight="1">
      <x:c r="A10" s="7" t="str">
        <x:v>EXT04</x:v>
      </x:c>
      <x:c r="B10" s="7" t="str">
        <x:v>BCRP</x:v>
      </x:c>
      <x:c r="C10" s="7" t="str">
        <x:v>Fomentando la interoperabilidad de los pagos minoristas en el Perú</x:v>
      </x:c>
      <x:c r="D10" s="7" t="str">
        <x:v>2025</x:v>
      </x:c>
      <x:c r="E10" s="7" t="str">
        <x:v>https://www.bcrp.gob.pe/docs/Sistema-Pagos/articulos/estrategia-de-interoperabilidad-2025-1.pdf</x:v>
      </x:c>
      <x:c r="F10" s="7" t="str">
        <x:v>Más de 186 millones de transacciones interoperables mensuales al cierre del primer semestre de 2025; tres fases implementadas.</x:v>
      </x:c>
    </x:row>
    <x:row r="11" ht="65" customHeight="1">
      <x:c r="A11" s="4" t="str">
        <x:v>EXT05</x:v>
      </x:c>
      <x:c r="B11" s="4" t="str">
        <x:v>SBS</x:v>
      </x:c>
      <x:c r="C11" s="4" t="str">
        <x:v>Reglamento de gestión de seguridad de información y ciberseguridad, Resolución 504-2021</x:v>
      </x:c>
      <x:c r="D11" s="4" t="str">
        <x:v>2021</x:v>
      </x:c>
      <x:c r="E11" s="4" t="str">
        <x:v>https://busquedas.elperuano.pe/dispositivo/NL/1929393-1</x:v>
      </x:c>
      <x:c r="F11" s="4" t="str">
        <x:v>Norma y evidencia de exigencias de controles. No mide número de ataques ni demuestra infracción del BCP.</x:v>
      </x:c>
    </x:row>
    <x:row r="12" ht="65" customHeight="1">
      <x:c r="A12" s="7" t="str">
        <x:v>EXT06</x:v>
      </x:c>
      <x:c r="B12" s="7" t="str">
        <x:v>MINAM</x:v>
      </x:c>
      <x:c r="C12" s="7" t="str">
        <x:v>Régimen Especial de Gestión y Manejo de RAEE, D. S. 009-2019-MINAM</x:v>
      </x:c>
      <x:c r="D12" s="7" t="str">
        <x:v>2019</x:v>
      </x:c>
      <x:c r="E12" s="7" t="str">
        <x:v>https://sinia.minam.gob.pe/normas/aprueban-regimen-especial-gestion-manejo-residuos-aparatos-electricos</x:v>
      </x:c>
      <x:c r="F12" s="7" t="str">
        <x:v>Ver responsabilidades correspondientes al generador, no al productor.</x:v>
      </x:c>
    </x:row>
    <x:row r="13" ht="74" customHeight="1">
      <x:c r="A13" s="4" t="str">
        <x:v>EXT07</x:v>
      </x:c>
      <x:c r="B13" s="4" t="str">
        <x:v>MINAM</x:v>
      </x:c>
      <x:c r="C13" s="4" t="str">
        <x:v>Más de 14 000 toneladas de RAEE recolectadas a nivel nacional, 12 octubre 2024</x:v>
      </x:c>
      <x:c r="D13" s="4" t="str">
        <x:v>2024</x:v>
      </x:c>
      <x:c r="E13" s="4" t="str">
        <x:v>https://www.gob.pe/institucion/minam/noticias/1038227-minam-mas-de-14-000-toneladas-de-residuos-de-aparatos-electricos-y-electronicos-se-recolectaron-a-nivel-nacional</x:v>
      </x:c>
      <x:c r="F13" s="4" t="str">
        <x:v>Antecedente 2022: 14 732 toneladas y 21 sistemas. No corresponde al volumen del BCP.</x:v>
      </x:c>
    </x:row>
    <x:row r="14" ht="89" customHeight="1">
      <x:c r="A14" s="7" t="str">
        <x:v>EXT08</x:v>
      </x:c>
      <x:c r="B14" s="7" t="str">
        <x:v>MINJUSDH / ANPD</x:v>
      </x:c>
      <x:c r="C14" s="7" t="str">
        <x:v>Entrada en vigencia del Reglamento de Protección de Datos Personales</x:v>
      </x:c>
      <x:c r="D14" s="7" t="str">
        <x:v>2025</x:v>
      </x:c>
      <x:c r="E14" s="7" t="str">
        <x:v>https://www.gob.pe/institucion/minjus/noticias/1133500-entrara-en-vigencia-la-nueva-regulacion-sobre-el-consentimiento-expreso-de-las-personas-para-recibir-llamadas-publicitarias</x:v>
      </x:c>
      <x:c r="F14" s="7" t="str">
        <x:v>Vigencia 31 marzo 2025; plazo de 48 horas para determinados incidentes, no todo evento.</x:v>
      </x:c>
    </x:row>
    <x:row r="15" ht="65" customHeight="1">
      <x:c r="A15" s="4" t="str">
        <x:v>EXT09</x:v>
      </x:c>
      <x:c r="B15" s="4" t="str">
        <x:v>ANPD</x:v>
      </x:c>
      <x:c r="C15" s="4" t="str">
        <x:v>D. S. 016-2024-JUS</x:v>
      </x:c>
      <x:c r="D15" s="4" t="str">
        <x:v>2024</x:v>
      </x:c>
      <x:c r="E15" s="4" t="str">
        <x:v>https://www.gob.pe/institucion/anpd/normas-legales/6554453-n-016-2024-jus</x:v>
      </x:c>
      <x:c r="F15" s="4" t="str">
        <x:v>Reglamento de la Ley 29733; no se declara cumplimiento integral sin auditoría.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5" hidden="0" customWidth="1"/>
  </x:cols>
  <x:sheetData>
    <x:row r="2">
      <x:c r="A2" s="1" t="str">
        <x:v>Evidencias de la memoria: páginas y enlaces</x:v>
      </x:c>
    </x:row>
    <x:row r="3">
      <x:c r="A3" t="str">
        <x:v>BCP Perú | ejercicio 2025 | valoración académica; consultar fuentes y límites</x:v>
      </x:c>
    </x:row>
    <x:row r="5" ht="42" customHeight="1">
      <x:c r="A5" s="6" t="str">
        <x:v>id</x:v>
      </x:c>
      <x:c r="B5" s="6" t="str">
        <x:v>fuente</x:v>
      </x:c>
      <x:c r="C5" s="6" t="str">
        <x:v>pagina</x:v>
      </x:c>
      <x:c r="D5" s="6" t="str">
        <x:v>dato</x:v>
      </x:c>
      <x:c r="E5" s="6" t="str">
        <x:v>alcance</x:v>
      </x:c>
      <x:c r="F5" s="6" t="str">
        <x:v>url</x:v>
      </x:c>
    </x:row>
    <x:row r="6" ht="65" customHeight="1">
      <x:c r="A6" s="7" t="str">
        <x:v>EV01</x:v>
      </x:c>
      <x:c r="B6" s="7" t="str">
        <x:v>BCP25</x:v>
      </x:c>
      <x:c r="C6" s="7" t="str">
        <x:v>17</x:v>
      </x:c>
      <x:c r="D6" s="7" t="str">
        <x:v>Yape: 15,9 millones de usuarios activos mensuales y 66,49 transacciones mensuales promedio por usuario activo.</x:v>
      </x:c>
      <x:c r="E6" s="7" t="str">
        <x:v>Escala del canal digital; no usuarios del banco completo.</x:v>
      </x:c>
      <x:c r="F6" s="7" t="str">
        <x:v>https://www.viabcp.com/memoria-integrada</x:v>
      </x:c>
    </x:row>
    <x:row r="7" ht="65" customHeight="1">
      <x:c r="A7" s="4" t="str">
        <x:v>EV02</x:v>
      </x:c>
      <x:c r="B7" s="4" t="str">
        <x:v>BCP25</x:v>
      </x:c>
      <x:c r="C7" s="4" t="str">
        <x:v>46</x:v>
      </x:c>
      <x:c r="D7" s="4" t="str">
        <x:v>S/152,7 millones de valor mediante analítica avanzada; S/53,5 millones de beneficios con soluciones de datos.</x:v>
      </x:c>
      <x:c r="E7" s="4" t="str">
        <x:v>Indicadores distintos; no se suman ni se atribuyen a ingresos auditados.</x:v>
      </x:c>
      <x:c r="F7" s="4" t="str">
        <x:v>https://www.viabcp.com/memoria-integrada</x:v>
      </x:c>
    </x:row>
    <x:row r="8" ht="74" customHeight="1">
      <x:c r="A8" s="7" t="str">
        <x:v>EV03</x:v>
      </x:c>
      <x:c r="B8" s="7" t="str">
        <x:v>BCP25</x:v>
      </x:c>
      <x:c r="C8" s="7" t="str">
        <x:v>57</x:v>
      </x:c>
      <x:c r="D8" s="7" t="str">
        <x:v>Programa de ciberseguridad, evaluaciones independientes y ausencia de incidentes significativos reportados en 2025.</x:v>
      </x:c>
      <x:c r="E8" s="7" t="str">
        <x:v>Ausencia autorreportada de incidentes significativos no significa ausencia de todo incidente.</x:v>
      </x:c>
      <x:c r="F8" s="7" t="str">
        <x:v>https://www.viabcp.com/memoria-integrada</x:v>
      </x:c>
    </x:row>
    <x:row r="9" ht="65" customHeight="1">
      <x:c r="A9" s="4" t="str">
        <x:v>EV04</x:v>
      </x:c>
      <x:c r="B9" s="4" t="str">
        <x:v>BCP25</x:v>
      </x:c>
      <x:c r="C9" s="4" t="str">
        <x:v>45</x:v>
      </x:c>
      <x:c r="D9" s="4" t="str">
        <x:v>Time to market reducido 21 %; 29 días en 70 % de casos; costo de producción tecnológica reducido 12 %.</x:v>
      </x:c>
      <x:c r="E9" s="4" t="str">
        <x:v>Ámbito de entregas tecnológicas; no se extrapola a todos los procesos.</x:v>
      </x:c>
      <x:c r="F9" s="4" t="str">
        <x:v>https://www.viabcp.com/memoria-integrada</x:v>
      </x:c>
    </x:row>
    <x:row r="10" ht="65" customHeight="1">
      <x:c r="A10" s="7" t="str">
        <x:v>EV05</x:v>
      </x:c>
      <x:c r="B10" s="7" t="str">
        <x:v>BCP25</x:v>
      </x:c>
      <x:c r="C10" s="7" t="str">
        <x:v>24</x:v>
      </x:c>
      <x:c r="D10" s="7" t="str">
        <x:v>67 % de reclamos atendidos en 48 horas.</x:v>
      </x:c>
      <x:c r="E10" s="7" t="str">
        <x:v>El 33 % restante se deriva por complemento. No prueba incumplimiento de plazo legal.</x:v>
      </x:c>
      <x:c r="F10" s="7" t="str">
        <x:v>https://www.viabcp.com/memoria-integrada</x:v>
      </x:c>
    </x:row>
    <x:row r="11" ht="65" customHeight="1">
      <x:c r="A11" s="4" t="str">
        <x:v>EV06</x:v>
      </x:c>
      <x:c r="B11" s="4" t="str">
        <x:v>BCP25</x:v>
      </x:c>
      <x:c r="C11" s="4" t="str">
        <x:v>25</x:v>
      </x:c>
      <x:c r="D11" s="4" t="str">
        <x:v>Reclamos por fraude digital: 48 a 33 por cada 10 000 clientes entre 2024 y 2025.</x:v>
      </x:c>
      <x:c r="E11" s="4" t="str">
        <x:v>Persistencia de reclamos; no se confunde con incidentes significativos de ciberseguridad.</x:v>
      </x:c>
      <x:c r="F11" s="4" t="str">
        <x:v>https://www.viabcp.com/memoria-integrada</x:v>
      </x:c>
    </x:row>
    <x:row r="12" ht="74" customHeight="1">
      <x:c r="A12" s="7" t="str">
        <x:v>EV07</x:v>
      </x:c>
      <x:c r="B12" s="7" t="str">
        <x:v>BCP25</x:v>
      </x:c>
      <x:c r="C12" s="7" t="str">
        <x:v>25</x:v>
      </x:c>
      <x:c r="D12" s="7" t="str">
        <x:v>Cinco funcionalidades básicas de Yape compatibles con lectores de pantalla y primera versión accesible de Banca Móvil Android; hoja de ruta progresiva.</x:v>
      </x:c>
      <x:c r="E12" s="7" t="str">
        <x:v>Cobertura en expansión. No se afirma que todo otro flujo o plataforma sea inaccesible.</x:v>
      </x:c>
      <x:c r="F12" s="7" t="str">
        <x:v>https://www.viabcp.com/memoria-integrada</x:v>
      </x:c>
    </x:row>
    <x:row r="13" ht="65" customHeight="1">
      <x:c r="A13" s="4" t="str">
        <x:v>EV08</x:v>
      </x:c>
      <x:c r="B13" s="4" t="str">
        <x:v>BCP25</x:v>
      </x:c>
      <x:c r="C13" s="4" t="str">
        <x:v>51</x:v>
      </x:c>
      <x:c r="D13" s="4" t="str">
        <x:v>Comenzó el desarrollo de un marco de riesgos específicos de IA generativa, como opacidad y ética.</x:v>
      </x:c>
      <x:c r="E13" s="4" t="str">
        <x:v>Marco específico en desarrollo a cierre 2025; convive con política responsable existente en p. 58.</x:v>
      </x:c>
      <x:c r="F13" s="4" t="str">
        <x:v>https://www.viabcp.com/memoria-integrada</x:v>
      </x:c>
    </x:row>
    <x:row r="14" ht="89" customHeight="1">
      <x:c r="A14" s="7" t="str">
        <x:v>EV09</x:v>
      </x:c>
      <x:c r="B14" s="7" t="str">
        <x:v>BCP25</x:v>
      </x:c>
      <x:c r="C14" s="7" t="str">
        <x:v>58</x:v>
      </x:c>
      <x:c r="D14" s="7" t="str">
        <x:v>Política de IA responsable; programa de protección de datos, gestor y autogestión de consentimiento, formación y tres años sin filtraciones, robos o pérdidas reportados.</x:v>
      </x:c>
      <x:c r="E14" s="7" t="str">
        <x:v>Autorreportado; no certifica cumplimiento integral.</x:v>
      </x:c>
      <x:c r="F14" s="7" t="str">
        <x:v>https://www.viabcp.com/memoria-integrada</x:v>
      </x:c>
    </x:row>
    <x:row r="15" ht="74" customHeight="1">
      <x:c r="A15" s="4" t="str">
        <x:v>EV10</x:v>
      </x:c>
      <x:c r="B15" s="4" t="str">
        <x:v>BCP25</x:v>
      </x:c>
      <x:c r="C15" s="4" t="str">
        <x:v>63</x:v>
      </x:c>
      <x:c r="D15" s="4" t="str">
        <x:v>Plan de gestión de residuos, iniciativas RAEE y renovación de servidores y equipos de respaldo; reducción de energía de 4 % en sedes y 7 % en agencias.</x:v>
      </x:c>
      <x:c r="E15" s="4" t="str">
        <x:v>670 toneladas son residuos sólidos totales, no RAEE. No se atribuye toda reducción energética a TI.</x:v>
      </x:c>
      <x:c r="F15" s="4" t="str">
        <x:v>https://www.viabcp.com/memoria-integrada</x:v>
      </x:c>
    </x:row>
    <x:row r="16" ht="65" customHeight="1">
      <x:c r="A16" s="7" t="str">
        <x:v>EV11</x:v>
      </x:c>
      <x:c r="B16" s="7" t="str">
        <x:v>BCP25</x:v>
      </x:c>
      <x:c r="C16" s="7" t="str">
        <x:v>14</x:v>
      </x:c>
      <x:c r="D16" s="7" t="str">
        <x:v>89 % de transacciones monetarias en canales digitales en Banca Personas.</x:v>
      </x:c>
      <x:c r="E16" s="7" t="str">
        <x:v>No mezclar población con usuarios Yape ni total de transacciones de todo el banco.</x:v>
      </x:c>
      <x:c r="F16" s="7" t="str">
        <x:v>https://www.viabcp.com/memoria-integrada</x:v>
      </x:c>
    </x:row>
    <x:row r="17" ht="74" customHeight="1">
      <x:c r="A17" s="4" t="str">
        <x:v>EV12</x:v>
      </x:c>
      <x:c r="B17" s="4" t="str">
        <x:v>BCP25</x:v>
      </x:c>
      <x:c r="C17" s="4" t="str">
        <x:v>16</x:v>
      </x:c>
      <x:c r="D17" s="4" t="str">
        <x:v>Productos crediticios gestionados digitalmente: 46,40 % en 2024 a 77,20 % en 2025; APIs y automatización en BCP Xplore.</x:v>
      </x:c>
      <x:c r="E17" s="4" t="str">
        <x:v>Porcentaje del segmento Grandes Empresas y Corporaciones; no total del banco.</x:v>
      </x:c>
      <x:c r="F17" s="4" t="str">
        <x:v>https://www.viabcp.com/memoria-integrada</x:v>
      </x:c>
    </x:row>
    <x:row r="18" ht="65" customHeight="1">
      <x:c r="A18" s="7" t="str">
        <x:v>EV13</x:v>
      </x:c>
      <x:c r="B18" s="7" t="str">
        <x:v>BCP25</x:v>
      </x:c>
      <x:c r="C18" s="7" t="str">
        <x:v>29</x:v>
      </x:c>
      <x:c r="D18" s="7" t="str">
        <x:v>Inclusión de 6,6 millones de personas en el sistema financiero desde 2020 por BCP y Yape.</x:v>
      </x:c>
      <x:c r="E18" s="7" t="str">
        <x:v>Acumulado desde 2020; no altas exclusivamente de 2025.</x:v>
      </x:c>
      <x:c r="F18" s="7" t="str">
        <x:v>https://www.viabcp.com/memoria-integrada</x:v>
      </x:c>
    </x:row>
    <x:row r="19" ht="74" customHeight="1">
      <x:c r="A19" s="4" t="str">
        <x:v>EV14</x:v>
      </x:c>
      <x:c r="B19" s="4" t="str">
        <x:v>BCP25</x:v>
      </x:c>
      <x:c r="C19" s="4" t="str">
        <x:v>51</x:v>
      </x:c>
      <x:c r="D19" s="4" t="str">
        <x:v>Programa anual de continuidad, actualización y pruebas de planes, análisis de impacto y ejercicio de crisis con ciberseguridad y deepfakes.</x:v>
      </x:c>
      <x:c r="E19" s="4" t="str">
        <x:v>Evidencia de práctica reportada; no prueba pública del cumplimiento de todo RTO/RPO.</x:v>
      </x:c>
      <x:c r="F19" s="4" t="str">
        <x:v>https://www.viabcp.com/memoria-integrada</x:v>
      </x:c>
    </x:row>
  </x:sheetData>
  <x:pageMargins left="0.7" right="0.7" top="0.75" bottom="0.75" header="0.3" footer="0.3"/>
</x:worksheet>
</file>